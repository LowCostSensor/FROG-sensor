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unisiit-my.sharepoint.com/personal/riccardogaetano_c_student_unisi_it/Documents/Desktop/PAPER/FROG 2026/"/>
    </mc:Choice>
  </mc:AlternateContent>
  <xr:revisionPtr revIDLastSave="33" documentId="8_{45E002F6-F8B6-41D4-B77E-BF0EE58AF16D}" xr6:coauthVersionLast="47" xr6:coauthVersionMax="47" xr10:uidLastSave="{2A6CFC01-56E4-47C7-B18F-05187A11CF98}"/>
  <bookViews>
    <workbookView xWindow="-120" yWindow="-120" windowWidth="29040" windowHeight="15720" xr2:uid="{D8A5AB02-B144-417D-8A56-05830E9DCA6F}"/>
  </bookViews>
  <sheets>
    <sheet name="Turbidity_Calibration_Curves" sheetId="1" r:id="rId1"/>
    <sheet name="Turbidity Performance" sheetId="2" r:id="rId2"/>
    <sheet name="Chl-a Cary Curves (in-vitro)" sheetId="3" r:id="rId3"/>
    <sheet name="Chl-a Low-Cost (in-vitro)" sheetId="4" r:id="rId4"/>
    <sheet name="In-vivo Fluorescence" sheetId="5" r:id="rId5"/>
    <sheet name="In-vivo Calibration + mode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1" i="6" l="1"/>
  <c r="D71" i="6"/>
  <c r="G71" i="6" s="1"/>
  <c r="G70" i="6"/>
  <c r="F70" i="6"/>
  <c r="D70" i="6"/>
  <c r="E70" i="6" s="1"/>
  <c r="F69" i="6"/>
  <c r="D69" i="6"/>
  <c r="G69" i="6" s="1"/>
  <c r="G68" i="6"/>
  <c r="F68" i="6"/>
  <c r="E68" i="6"/>
  <c r="D68" i="6"/>
  <c r="F67" i="6"/>
  <c r="D67" i="6"/>
  <c r="G67" i="6" s="1"/>
  <c r="G66" i="6"/>
  <c r="F66" i="6"/>
  <c r="E66" i="6"/>
  <c r="D66" i="6"/>
  <c r="AA65" i="6"/>
  <c r="Y65" i="6"/>
  <c r="AB65" i="6" s="1"/>
  <c r="F65" i="6"/>
  <c r="E65" i="6"/>
  <c r="D65" i="6"/>
  <c r="G65" i="6" s="1"/>
  <c r="AA64" i="6"/>
  <c r="Y64" i="6"/>
  <c r="AB64" i="6" s="1"/>
  <c r="G64" i="6"/>
  <c r="F64" i="6"/>
  <c r="E64" i="6"/>
  <c r="D64" i="6"/>
  <c r="AA63" i="6"/>
  <c r="Y63" i="6"/>
  <c r="AB63" i="6" s="1"/>
  <c r="G63" i="6"/>
  <c r="F63" i="6"/>
  <c r="E63" i="6"/>
  <c r="D63" i="6"/>
  <c r="AA62" i="6"/>
  <c r="Y62" i="6"/>
  <c r="AB62" i="6" s="1"/>
  <c r="G62" i="6"/>
  <c r="F62" i="6"/>
  <c r="E62" i="6"/>
  <c r="D62" i="6"/>
  <c r="AA61" i="6"/>
  <c r="Y61" i="6"/>
  <c r="AB61" i="6" s="1"/>
  <c r="F61" i="6"/>
  <c r="E61" i="6"/>
  <c r="D61" i="6"/>
  <c r="G61" i="6" s="1"/>
  <c r="AA60" i="6"/>
  <c r="Y60" i="6"/>
  <c r="AB60" i="6" s="1"/>
  <c r="G60" i="6"/>
  <c r="F60" i="6"/>
  <c r="E60" i="6"/>
  <c r="D60" i="6"/>
  <c r="AA59" i="6"/>
  <c r="Y59" i="6"/>
  <c r="AB59" i="6" s="1"/>
  <c r="G59" i="6"/>
  <c r="F59" i="6"/>
  <c r="E59" i="6"/>
  <c r="D59" i="6"/>
  <c r="AA58" i="6"/>
  <c r="Y58" i="6"/>
  <c r="AB58" i="6" s="1"/>
  <c r="G58" i="6"/>
  <c r="F58" i="6"/>
  <c r="E58" i="6"/>
  <c r="D58" i="6"/>
  <c r="AA57" i="6"/>
  <c r="Y57" i="6"/>
  <c r="AB57" i="6" s="1"/>
  <c r="F57" i="6"/>
  <c r="E57" i="6"/>
  <c r="D57" i="6"/>
  <c r="G57" i="6" s="1"/>
  <c r="AA56" i="6"/>
  <c r="Y56" i="6"/>
  <c r="AB56" i="6" s="1"/>
  <c r="G56" i="6"/>
  <c r="F56" i="6"/>
  <c r="E56" i="6"/>
  <c r="D56" i="6"/>
  <c r="AA55" i="6"/>
  <c r="Y55" i="6"/>
  <c r="AB55" i="6" s="1"/>
  <c r="G55" i="6"/>
  <c r="F55" i="6"/>
  <c r="E55" i="6"/>
  <c r="D55" i="6"/>
  <c r="AA54" i="6"/>
  <c r="Y54" i="6"/>
  <c r="AB54" i="6" s="1"/>
  <c r="G54" i="6"/>
  <c r="F54" i="6"/>
  <c r="E54" i="6"/>
  <c r="D54" i="6"/>
  <c r="AA53" i="6"/>
  <c r="Y53" i="6"/>
  <c r="AB53" i="6" s="1"/>
  <c r="F53" i="6"/>
  <c r="E53" i="6"/>
  <c r="D53" i="6"/>
  <c r="G53" i="6" s="1"/>
  <c r="AA52" i="6"/>
  <c r="Y52" i="6"/>
  <c r="AB52" i="6" s="1"/>
  <c r="G52" i="6"/>
  <c r="F52" i="6"/>
  <c r="E52" i="6"/>
  <c r="D52" i="6"/>
  <c r="AB51" i="6"/>
  <c r="AA51" i="6"/>
  <c r="Y51" i="6"/>
  <c r="Z51" i="6" s="1"/>
  <c r="F51" i="6"/>
  <c r="E51" i="6"/>
  <c r="D51" i="6"/>
  <c r="G51" i="6" s="1"/>
  <c r="AA50" i="6"/>
  <c r="Y50" i="6"/>
  <c r="AB50" i="6" s="1"/>
  <c r="F50" i="6"/>
  <c r="D50" i="6"/>
  <c r="E50" i="6" s="1"/>
  <c r="AA49" i="6"/>
  <c r="Y49" i="6"/>
  <c r="AB49" i="6" s="1"/>
  <c r="F49" i="6"/>
  <c r="D49" i="6"/>
  <c r="G49" i="6" s="1"/>
  <c r="AA48" i="6"/>
  <c r="Y48" i="6"/>
  <c r="AB48" i="6" s="1"/>
  <c r="F48" i="6"/>
  <c r="D48" i="6"/>
  <c r="G48" i="6" s="1"/>
  <c r="AA47" i="6"/>
  <c r="Y47" i="6"/>
  <c r="AB47" i="6" s="1"/>
  <c r="F47" i="6"/>
  <c r="E47" i="6"/>
  <c r="D47" i="6"/>
  <c r="G47" i="6" s="1"/>
  <c r="AA46" i="6"/>
  <c r="Y46" i="6"/>
  <c r="AB46" i="6" s="1"/>
  <c r="F46" i="6"/>
  <c r="D46" i="6"/>
  <c r="E46" i="6" s="1"/>
  <c r="AA45" i="6"/>
  <c r="Y45" i="6"/>
  <c r="AB45" i="6" s="1"/>
  <c r="F45" i="6"/>
  <c r="D45" i="6"/>
  <c r="G45" i="6" s="1"/>
  <c r="AA44" i="6"/>
  <c r="Y44" i="6"/>
  <c r="AB44" i="6" s="1"/>
  <c r="F44" i="6"/>
  <c r="D44" i="6"/>
  <c r="G44" i="6" s="1"/>
  <c r="AA43" i="6"/>
  <c r="Y43" i="6"/>
  <c r="AB43" i="6" s="1"/>
  <c r="F43" i="6"/>
  <c r="E43" i="6"/>
  <c r="D43" i="6"/>
  <c r="G43" i="6" s="1"/>
  <c r="AA42" i="6"/>
  <c r="Y42" i="6"/>
  <c r="AB42" i="6" s="1"/>
  <c r="F42" i="6"/>
  <c r="D42" i="6"/>
  <c r="E42" i="6" s="1"/>
  <c r="AA41" i="6"/>
  <c r="Y41" i="6"/>
  <c r="Z41" i="6" s="1"/>
  <c r="F41" i="6"/>
  <c r="D41" i="6"/>
  <c r="G41" i="6" s="1"/>
  <c r="AA40" i="6"/>
  <c r="Y40" i="6"/>
  <c r="AB40" i="6" s="1"/>
  <c r="F40" i="6"/>
  <c r="D40" i="6"/>
  <c r="G40" i="6" s="1"/>
  <c r="AA39" i="6"/>
  <c r="Y39" i="6"/>
  <c r="AB39" i="6" s="1"/>
  <c r="F39" i="6"/>
  <c r="E39" i="6"/>
  <c r="D39" i="6"/>
  <c r="G39" i="6" s="1"/>
  <c r="AA38" i="6"/>
  <c r="Y38" i="6"/>
  <c r="AB38" i="6" s="1"/>
  <c r="F38" i="6"/>
  <c r="D38" i="6"/>
  <c r="E38" i="6" s="1"/>
  <c r="AA37" i="6"/>
  <c r="Y37" i="6"/>
  <c r="Z37" i="6" s="1"/>
  <c r="F37" i="6"/>
  <c r="D37" i="6"/>
  <c r="G37" i="6" s="1"/>
  <c r="AA36" i="6"/>
  <c r="Y36" i="6"/>
  <c r="AB36" i="6" s="1"/>
  <c r="F36" i="6"/>
  <c r="D36" i="6"/>
  <c r="G36" i="6" s="1"/>
  <c r="AA35" i="6"/>
  <c r="Y35" i="6"/>
  <c r="Z35" i="6" s="1"/>
  <c r="F35" i="6"/>
  <c r="E35" i="6"/>
  <c r="D35" i="6"/>
  <c r="G35" i="6" s="1"/>
  <c r="AA34" i="6"/>
  <c r="Y34" i="6"/>
  <c r="AB34" i="6" s="1"/>
  <c r="F34" i="6"/>
  <c r="D34" i="6"/>
  <c r="E34" i="6" s="1"/>
  <c r="AA33" i="6"/>
  <c r="Y33" i="6"/>
  <c r="Z33" i="6" s="1"/>
  <c r="F33" i="6"/>
  <c r="D33" i="6"/>
  <c r="G33" i="6" s="1"/>
  <c r="AA32" i="6"/>
  <c r="Y32" i="6"/>
  <c r="AB32" i="6" s="1"/>
  <c r="F32" i="6"/>
  <c r="D32" i="6"/>
  <c r="G32" i="6" s="1"/>
  <c r="AA31" i="6"/>
  <c r="Y31" i="6"/>
  <c r="Z31" i="6" s="1"/>
  <c r="F31" i="6"/>
  <c r="E31" i="6"/>
  <c r="D31" i="6"/>
  <c r="G31" i="6" s="1"/>
  <c r="AA30" i="6"/>
  <c r="Y30" i="6"/>
  <c r="AB30" i="6" s="1"/>
  <c r="F30" i="6"/>
  <c r="D30" i="6"/>
  <c r="E30" i="6" s="1"/>
  <c r="AA29" i="6"/>
  <c r="Y29" i="6"/>
  <c r="Z29" i="6" s="1"/>
  <c r="F29" i="6"/>
  <c r="D29" i="6"/>
  <c r="G29" i="6" s="1"/>
  <c r="AA28" i="6"/>
  <c r="Y28" i="6"/>
  <c r="AB28" i="6" s="1"/>
  <c r="F28" i="6"/>
  <c r="D28" i="6"/>
  <c r="G28" i="6" s="1"/>
  <c r="AA27" i="6"/>
  <c r="Y27" i="6"/>
  <c r="Z27" i="6" s="1"/>
  <c r="F27" i="6"/>
  <c r="E27" i="6"/>
  <c r="D27" i="6"/>
  <c r="G27" i="6" s="1"/>
  <c r="AA26" i="6"/>
  <c r="Y26" i="6"/>
  <c r="AB26" i="6" s="1"/>
  <c r="F26" i="6"/>
  <c r="D26" i="6"/>
  <c r="E26" i="6" s="1"/>
  <c r="AA25" i="6"/>
  <c r="Y25" i="6"/>
  <c r="Z25" i="6" s="1"/>
  <c r="F25" i="6"/>
  <c r="D25" i="6"/>
  <c r="G25" i="6" s="1"/>
  <c r="AA24" i="6"/>
  <c r="Y24" i="6"/>
  <c r="AB24" i="6" s="1"/>
  <c r="F24" i="6"/>
  <c r="D24" i="6"/>
  <c r="G24" i="6" s="1"/>
  <c r="AA23" i="6"/>
  <c r="Y23" i="6"/>
  <c r="Z23" i="6" s="1"/>
  <c r="F23" i="6"/>
  <c r="E23" i="6"/>
  <c r="D23" i="6"/>
  <c r="G23" i="6" s="1"/>
  <c r="AA22" i="6"/>
  <c r="Y22" i="6"/>
  <c r="AB22" i="6" s="1"/>
  <c r="F22" i="6"/>
  <c r="D22" i="6"/>
  <c r="E22" i="6" s="1"/>
  <c r="AA21" i="6"/>
  <c r="Y21" i="6"/>
  <c r="Z21" i="6" s="1"/>
  <c r="F21" i="6"/>
  <c r="D21" i="6"/>
  <c r="G21" i="6" s="1"/>
  <c r="AA20" i="6"/>
  <c r="Y20" i="6"/>
  <c r="AB20" i="6" s="1"/>
  <c r="F20" i="6"/>
  <c r="D20" i="6"/>
  <c r="G20" i="6" s="1"/>
  <c r="AA19" i="6"/>
  <c r="Y19" i="6"/>
  <c r="Z19" i="6" s="1"/>
  <c r="F19" i="6"/>
  <c r="E19" i="6"/>
  <c r="D19" i="6"/>
  <c r="G19" i="6" s="1"/>
  <c r="AA18" i="6"/>
  <c r="Y18" i="6"/>
  <c r="AB18" i="6" s="1"/>
  <c r="F18" i="6"/>
  <c r="D18" i="6"/>
  <c r="E18" i="6" s="1"/>
  <c r="AA17" i="6"/>
  <c r="Y17" i="6"/>
  <c r="Z17" i="6" s="1"/>
  <c r="F17" i="6"/>
  <c r="D17" i="6"/>
  <c r="G17" i="6" s="1"/>
  <c r="AA16" i="6"/>
  <c r="Y16" i="6"/>
  <c r="Z16" i="6" s="1"/>
  <c r="F16" i="6"/>
  <c r="D16" i="6"/>
  <c r="G16" i="6" s="1"/>
  <c r="AA15" i="6"/>
  <c r="Y15" i="6"/>
  <c r="AB15" i="6" s="1"/>
  <c r="F15" i="6"/>
  <c r="E15" i="6"/>
  <c r="D15" i="6"/>
  <c r="G15" i="6" s="1"/>
  <c r="AA14" i="6"/>
  <c r="Y14" i="6"/>
  <c r="Z14" i="6" s="1"/>
  <c r="F14" i="6"/>
  <c r="D14" i="6"/>
  <c r="E14" i="6" s="1"/>
  <c r="AA13" i="6"/>
  <c r="Y13" i="6"/>
  <c r="AB13" i="6" s="1"/>
  <c r="F13" i="6"/>
  <c r="D13" i="6"/>
  <c r="G13" i="6" s="1"/>
  <c r="G14" i="6" l="1"/>
  <c r="E17" i="6"/>
  <c r="G18" i="6"/>
  <c r="E21" i="6"/>
  <c r="G22" i="6"/>
  <c r="E25" i="6"/>
  <c r="G26" i="6"/>
  <c r="E29" i="6"/>
  <c r="G30" i="6"/>
  <c r="E33" i="6"/>
  <c r="G34" i="6"/>
  <c r="E37" i="6"/>
  <c r="G38" i="6"/>
  <c r="E41" i="6"/>
  <c r="G42" i="6"/>
  <c r="E45" i="6"/>
  <c r="G46" i="6"/>
  <c r="E49" i="6"/>
  <c r="G50" i="6"/>
  <c r="J13" i="6"/>
  <c r="E16" i="6"/>
  <c r="E20" i="6"/>
  <c r="E24" i="6"/>
  <c r="E28" i="6"/>
  <c r="E32" i="6"/>
  <c r="E36" i="6"/>
  <c r="E40" i="6"/>
  <c r="E44" i="6"/>
  <c r="E48" i="6"/>
  <c r="AE13" i="6"/>
  <c r="AB14" i="6"/>
  <c r="AB16" i="6"/>
  <c r="AB17" i="6"/>
  <c r="AB19" i="6"/>
  <c r="AB21" i="6"/>
  <c r="AB23" i="6"/>
  <c r="AB25" i="6"/>
  <c r="AB27" i="6"/>
  <c r="AB29" i="6"/>
  <c r="AB31" i="6"/>
  <c r="AB33" i="6"/>
  <c r="AB35" i="6"/>
  <c r="AB37" i="6"/>
  <c r="AB41" i="6"/>
  <c r="Z13" i="6"/>
  <c r="E13" i="6"/>
  <c r="Z15" i="6"/>
  <c r="Z18" i="6"/>
  <c r="Z20" i="6"/>
  <c r="Z22" i="6"/>
  <c r="Z24" i="6"/>
  <c r="Z26" i="6"/>
  <c r="Z28" i="6"/>
  <c r="Z30" i="6"/>
  <c r="Z32" i="6"/>
  <c r="Z34" i="6"/>
  <c r="Z36" i="6"/>
  <c r="Z38" i="6"/>
  <c r="Z39" i="6"/>
  <c r="Z40" i="6"/>
  <c r="Z42" i="6"/>
  <c r="Z43" i="6"/>
  <c r="Z44" i="6"/>
  <c r="Z45" i="6"/>
  <c r="Z46" i="6"/>
  <c r="Z47" i="6"/>
  <c r="Z48" i="6"/>
  <c r="Z49" i="6"/>
  <c r="Z50" i="6"/>
  <c r="Z52" i="6"/>
  <c r="Z53" i="6"/>
  <c r="Z54" i="6"/>
  <c r="Z55" i="6"/>
  <c r="Z56" i="6"/>
  <c r="Z57" i="6"/>
  <c r="Z58" i="6"/>
  <c r="Z59" i="6"/>
  <c r="Z60" i="6"/>
  <c r="Z61" i="6"/>
  <c r="Z62" i="6"/>
  <c r="Z63" i="6"/>
  <c r="Z64" i="6"/>
  <c r="Z65" i="6"/>
  <c r="E67" i="6"/>
  <c r="E69" i="6"/>
  <c r="E71" i="6"/>
  <c r="I13" i="6" l="1"/>
  <c r="H13" i="6"/>
  <c r="AD13" i="6"/>
  <c r="AC13" i="6"/>
</calcChain>
</file>

<file path=xl/sharedStrings.xml><?xml version="1.0" encoding="utf-8"?>
<sst xmlns="http://schemas.openxmlformats.org/spreadsheetml/2006/main" count="422" uniqueCount="175">
  <si>
    <t>16_Dic</t>
  </si>
  <si>
    <t>16_Dic_bis</t>
  </si>
  <si>
    <t>18_Dic</t>
  </si>
  <si>
    <t>09_Gen</t>
  </si>
  <si>
    <t>09_Gen_bis</t>
  </si>
  <si>
    <t>13_Gen</t>
  </si>
  <si>
    <t>NTU</t>
  </si>
  <si>
    <t>blank corrected</t>
  </si>
  <si>
    <t>blank</t>
  </si>
  <si>
    <t>Volt</t>
  </si>
  <si>
    <t>Blank</t>
  </si>
  <si>
    <t>10 NTU</t>
  </si>
  <si>
    <t>20 NTU</t>
  </si>
  <si>
    <t>40 NTU</t>
  </si>
  <si>
    <t>150 NTU</t>
  </si>
  <si>
    <t>mean</t>
  </si>
  <si>
    <t>dev.st</t>
  </si>
  <si>
    <t>18_Dec</t>
  </si>
  <si>
    <t>intercept</t>
  </si>
  <si>
    <t>slope</t>
  </si>
  <si>
    <t>20 to 100 NTU regression 18_Dec</t>
  </si>
  <si>
    <t>Turbidity (NTU)</t>
  </si>
  <si>
    <t>Repeatability limit (NTU)</t>
  </si>
  <si>
    <t>bias %</t>
  </si>
  <si>
    <t>repeatability limit (r)</t>
  </si>
  <si>
    <t>LOD</t>
  </si>
  <si>
    <t>T student 95%</t>
  </si>
  <si>
    <t>LOQ</t>
  </si>
  <si>
    <t>28_Nov</t>
  </si>
  <si>
    <t>15_Dic</t>
  </si>
  <si>
    <t>16_bis_Dic</t>
  </si>
  <si>
    <t>ppb Chl-a</t>
  </si>
  <si>
    <t>Blank corrected Relative Fluorescence</t>
  </si>
  <si>
    <t>blank corrected (V)</t>
  </si>
  <si>
    <t>blank (V)</t>
  </si>
  <si>
    <t>2ppb</t>
  </si>
  <si>
    <t>4ppb</t>
  </si>
  <si>
    <t>6ppb</t>
  </si>
  <si>
    <t>8ppb</t>
  </si>
  <si>
    <t>10ppb</t>
  </si>
  <si>
    <t>15ppb</t>
  </si>
  <si>
    <t>35ppb</t>
  </si>
  <si>
    <t>45ppb</t>
  </si>
  <si>
    <t>55ppb</t>
  </si>
  <si>
    <t>65ppb</t>
  </si>
  <si>
    <t>75ppb</t>
  </si>
  <si>
    <t>85ppb</t>
  </si>
  <si>
    <t>100ppb</t>
  </si>
  <si>
    <t>CALCULATED VALUE</t>
  </si>
  <si>
    <t>BIAS %</t>
  </si>
  <si>
    <t>n samples per std</t>
  </si>
  <si>
    <t>Std. solution (ug/L)</t>
  </si>
  <si>
    <t>Mean relative bias (%)</t>
  </si>
  <si>
    <t>Standard deviation</t>
  </si>
  <si>
    <t>RSD%</t>
  </si>
  <si>
    <t>SE</t>
  </si>
  <si>
    <t>RSE%</t>
  </si>
  <si>
    <t>RPD%</t>
  </si>
  <si>
    <t>ND</t>
  </si>
  <si>
    <t>Cary</t>
  </si>
  <si>
    <t>Frog (mV)</t>
  </si>
  <si>
    <t>Date</t>
  </si>
  <si>
    <t>Culture</t>
  </si>
  <si>
    <t>Mean</t>
  </si>
  <si>
    <t>10_Mar</t>
  </si>
  <si>
    <t>Control 1</t>
  </si>
  <si>
    <t>Std dev</t>
  </si>
  <si>
    <t>BG11/40 2</t>
  </si>
  <si>
    <t>BG11 + phosphates 3</t>
  </si>
  <si>
    <t>BG11 + nitrates 4</t>
  </si>
  <si>
    <t>10_Mar 30min dark</t>
  </si>
  <si>
    <t>12_Mar</t>
  </si>
  <si>
    <t>12_Mar 30 min dark</t>
  </si>
  <si>
    <t>13_Mar</t>
  </si>
  <si>
    <t>17_Mar</t>
  </si>
  <si>
    <t>18_Mar</t>
  </si>
  <si>
    <t>18_Mar (24h dark)</t>
  </si>
  <si>
    <t>19_Mar</t>
  </si>
  <si>
    <t>19_Mar + terra</t>
  </si>
  <si>
    <t>19_Mar + terra (24h dark)</t>
  </si>
  <si>
    <t>20_Mar</t>
  </si>
  <si>
    <t>20_Mar_dil1</t>
  </si>
  <si>
    <t>20_Mar_dil2</t>
  </si>
  <si>
    <t>23_Mar</t>
  </si>
  <si>
    <t>23_Mar dil 1</t>
  </si>
  <si>
    <t>23_Mar dil 2</t>
  </si>
  <si>
    <t>24_Mar</t>
  </si>
  <si>
    <t>24_Mar dil1</t>
  </si>
  <si>
    <t>24_Mar dil2</t>
  </si>
  <si>
    <t>24_Mar 24h dark + terra</t>
  </si>
  <si>
    <t>25_Mar + terra</t>
  </si>
  <si>
    <t>25_Mar dil1</t>
  </si>
  <si>
    <t>25_Mar dil2</t>
  </si>
  <si>
    <t>25_Mar + terra + 24h dark</t>
  </si>
  <si>
    <t>26_Mar</t>
  </si>
  <si>
    <t>26_Mar + terra</t>
  </si>
  <si>
    <t>26_Mar dil1</t>
  </si>
  <si>
    <t>ppb</t>
  </si>
  <si>
    <t>Frog(V)</t>
  </si>
  <si>
    <t>Cary(UF)</t>
  </si>
  <si>
    <t>Calibration</t>
  </si>
  <si>
    <t>Colture</t>
  </si>
  <si>
    <t>Frog (ppb)</t>
  </si>
  <si>
    <t>Cary (ppb)</t>
  </si>
  <si>
    <t>Bias</t>
  </si>
  <si>
    <t>Relative bias</t>
  </si>
  <si>
    <t>RMSE</t>
  </si>
  <si>
    <t>Mean Relative bias</t>
  </si>
  <si>
    <t>Mean RPD%</t>
  </si>
  <si>
    <t>Frog_modeled</t>
  </si>
  <si>
    <t>SUMMARY OUTPUT</t>
  </si>
  <si>
    <t>=== FOLD 1 ===</t>
  </si>
  <si>
    <t>RMSE: 6.622199088155951</t>
  </si>
  <si>
    <t>Regression Statistics</t>
  </si>
  <si>
    <t>Bias: -0.8148214889639659</t>
  </si>
  <si>
    <t>Multiple R</t>
  </si>
  <si>
    <t>Rel Bias %: 47.46742466500471</t>
  </si>
  <si>
    <t>R Square</t>
  </si>
  <si>
    <t>R2: 0.9333512592812023</t>
  </si>
  <si>
    <t>Adjusted R Square</t>
  </si>
  <si>
    <t>RPD: 3.8735041529709737</t>
  </si>
  <si>
    <t>Standard Error</t>
  </si>
  <si>
    <t>Observations</t>
  </si>
  <si>
    <t>=== FOLD 2 ===</t>
  </si>
  <si>
    <t>RMSE: 6.594670096864791</t>
  </si>
  <si>
    <t>ANOVA</t>
  </si>
  <si>
    <t>Bias: 0.6297784796696986</t>
  </si>
  <si>
    <t>df</t>
  </si>
  <si>
    <t>SS</t>
  </si>
  <si>
    <t>MS</t>
  </si>
  <si>
    <t>F</t>
  </si>
  <si>
    <t>Significance F</t>
  </si>
  <si>
    <t>Rel Bias %: 60.13085335860365</t>
  </si>
  <si>
    <t>Regression</t>
  </si>
  <si>
    <t>R2: 0.8537701032577185</t>
  </si>
  <si>
    <t>Residual</t>
  </si>
  <si>
    <t>RPD: 2.615061538809209</t>
  </si>
  <si>
    <t>Total</t>
  </si>
  <si>
    <t>=== FOLD 3 ===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</si>
  <si>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</si>
  <si>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</si>
  <si>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</si>
  <si>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</si>
  <si>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</si>
  <si>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</si>
  <si>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</si>
  <si>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RMSE: 6.330605645616173</t>
  </si>
  <si>
    <t>Intercept</t>
  </si>
  <si>
    <t>Bias: 0.5217914330679637</t>
  </si>
  <si>
    <t>Rel Bias %: 0.8762945499231499</t>
  </si>
  <si>
    <t>R2: 0.8042862411068809</t>
  </si>
  <si>
    <t>RPD: 2.2604209353100644</t>
  </si>
  <si>
    <t>RESIDUAL OUTPUT</t>
  </si>
  <si>
    <t>=== FOLD 4 ===</t>
  </si>
  <si>
    <t>RMSE: 4.656158880566416</t>
  </si>
  <si>
    <t>Observation</t>
  </si>
  <si>
    <t>Predicted Cary (ppb)</t>
  </si>
  <si>
    <t>Residuals</t>
  </si>
  <si>
    <t>Bias: 2.2174895357238538</t>
  </si>
  <si>
    <t>Rel Bias %: 22.079897252741723</t>
  </si>
  <si>
    <t>R2: 0.9428296610247698</t>
  </si>
  <si>
    <t>RPD: 4.1822945537783385</t>
  </si>
  <si>
    <t>=== FOLD 5 ===</t>
  </si>
  <si>
    <t>RMSE: 7.346121747655558</t>
  </si>
  <si>
    <t>Bias: -2.132755287500393</t>
  </si>
  <si>
    <t>Rel Bias %: -10.30081956142238</t>
  </si>
  <si>
    <t>R2: 0.8675155795526002</t>
  </si>
  <si>
    <t>RPD: 2.7473728038695917</t>
  </si>
  <si>
    <t>======================</t>
  </si>
  <si>
    <t>5-FOLD SUMMARY (MEAN ± STD)</t>
  </si>
  <si>
    <t>RMSE: 6.309951091771778 ± 0.8930474387914387</t>
  </si>
  <si>
    <t>Bias: 0.08429653439943152 ± 1.4671875627064561</t>
  </si>
  <si>
    <t>Rel Bias %: 24.05073005297017 ± 26.724836718021006</t>
  </si>
  <si>
    <t>R2: 0.8803505688446343 ± 0.05171025082427468</t>
  </si>
  <si>
    <t>RPD: 3.135730796947635 ± 0.7520227367583434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</si>
</sst>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2</xdr:row>
      <xdr:rowOff>166687</xdr:rowOff>
    </xdr:from>
    <xdr:to>
      <xdr:col>11</xdr:col>
      <xdr:colOff>209550</xdr:colOff>
      <xdr:row>11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98F9838-CFDF-BF34-D409-D098B928EC65}"/>
            </a:ext>
          </a:extLst>
        </xdr:cNvPr>
        <xdr:cNvSpPr txBox="1"/>
      </xdr:nvSpPr>
      <xdr:spPr>
        <a:xfrm>
          <a:off x="5029200" y="757237"/>
          <a:ext cx="1885950" cy="1633538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Curves on the left</a:t>
          </a:r>
        </a:p>
        <a:p>
          <a:br>
            <a:rPr lang="en-GB" sz="1100" b="1"/>
          </a:br>
          <a:r>
            <a:rPr lang="en-GB" sz="1100" b="1"/>
            <a:t>Analytical</a:t>
          </a:r>
          <a:r>
            <a:rPr lang="en-GB" sz="1100" b="1" baseline="0"/>
            <a:t> performance on the right </a:t>
          </a:r>
          <a:endParaRPr lang="en-GB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0E95-FFE2-4551-8BB0-D8A73A5B87E3}">
  <dimension ref="A1:G20"/>
  <sheetViews>
    <sheetView tabSelected="1" topLeftCell="A3" workbookViewId="0">
      <selection activeCell="I12" sqref="I12"/>
    </sheetView>
  </sheetViews>
  <sheetFormatPr defaultRowHeight="15" x14ac:dyDescent="0.25"/>
  <sheetData>
    <row r="1" spans="1:7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5.75" customHeight="1" x14ac:dyDescent="0.25">
      <c r="A2" s="1" t="s">
        <v>6</v>
      </c>
      <c r="B2" s="1" t="s">
        <v>7</v>
      </c>
      <c r="C2" s="1"/>
      <c r="D2" s="1"/>
      <c r="E2" s="1"/>
      <c r="F2" s="1"/>
      <c r="G2" s="1"/>
    </row>
    <row r="3" spans="1:7" x14ac:dyDescent="0.25">
      <c r="A3" s="1">
        <v>2</v>
      </c>
      <c r="B3">
        <v>3.3546666670000003E-2</v>
      </c>
      <c r="C3">
        <v>2.41E-2</v>
      </c>
      <c r="D3">
        <v>3.598666667E-2</v>
      </c>
      <c r="E3">
        <v>9.5999999999999992E-3</v>
      </c>
      <c r="F3">
        <v>3.9300000000000002E-2</v>
      </c>
      <c r="G3">
        <v>2.6800000000000001E-2</v>
      </c>
    </row>
    <row r="4" spans="1:7" x14ac:dyDescent="0.25">
      <c r="A4" s="1">
        <v>4</v>
      </c>
      <c r="B4">
        <v>5.9646666670000001E-2</v>
      </c>
      <c r="C4">
        <v>3.78E-2</v>
      </c>
      <c r="D4">
        <v>5.2286666670000002E-2</v>
      </c>
      <c r="E4">
        <v>2.5700000000000001E-2</v>
      </c>
      <c r="F4">
        <v>4.3099999999999999E-2</v>
      </c>
      <c r="G4">
        <v>5.9799999999999999E-2</v>
      </c>
    </row>
    <row r="5" spans="1:7" x14ac:dyDescent="0.25">
      <c r="A5" s="1">
        <v>6</v>
      </c>
      <c r="B5">
        <v>7.0346666670000002E-2</v>
      </c>
      <c r="C5">
        <v>5.0099999999999999E-2</v>
      </c>
      <c r="D5">
        <v>6.408666667E-2</v>
      </c>
      <c r="E5">
        <v>5.5100000000000003E-2</v>
      </c>
      <c r="F5">
        <v>6.2600000000000003E-2</v>
      </c>
      <c r="G5">
        <v>6.9800000000000001E-2</v>
      </c>
    </row>
    <row r="6" spans="1:7" x14ac:dyDescent="0.25">
      <c r="A6" s="1">
        <v>8</v>
      </c>
      <c r="B6">
        <v>9.2646666670000002E-2</v>
      </c>
      <c r="C6">
        <v>7.8600000000000003E-2</v>
      </c>
      <c r="D6">
        <v>8.6586666670000006E-2</v>
      </c>
      <c r="E6">
        <v>4.3799999999999999E-2</v>
      </c>
      <c r="F6">
        <v>5.2400000000000002E-2</v>
      </c>
      <c r="G6">
        <v>0.11559999999999999</v>
      </c>
    </row>
    <row r="7" spans="1:7" x14ac:dyDescent="0.25">
      <c r="A7" s="1">
        <v>10</v>
      </c>
      <c r="B7">
        <v>9.7146666670000006E-2</v>
      </c>
      <c r="C7">
        <v>9.5899999999999999E-2</v>
      </c>
      <c r="D7">
        <v>0.1248866667</v>
      </c>
      <c r="E7">
        <v>6.3600000000000004E-2</v>
      </c>
      <c r="F7">
        <v>5.5500000000000001E-2</v>
      </c>
      <c r="G7">
        <v>9.3299999999999994E-2</v>
      </c>
    </row>
    <row r="8" spans="1:7" x14ac:dyDescent="0.25">
      <c r="A8" s="1">
        <v>15</v>
      </c>
      <c r="B8">
        <v>0.14434666669999999</v>
      </c>
      <c r="C8">
        <v>0.12039999999999999</v>
      </c>
      <c r="D8">
        <v>0.14498666669999999</v>
      </c>
      <c r="E8">
        <v>0.12429999999999999</v>
      </c>
      <c r="F8">
        <v>9.4100000000000003E-2</v>
      </c>
      <c r="G8">
        <v>0.1023</v>
      </c>
    </row>
    <row r="9" spans="1:7" x14ac:dyDescent="0.25">
      <c r="A9" s="1">
        <v>20</v>
      </c>
      <c r="B9">
        <v>0.17734666669999999</v>
      </c>
      <c r="C9">
        <v>0.1767</v>
      </c>
      <c r="D9">
        <v>0.16768666669999999</v>
      </c>
      <c r="E9">
        <v>0.1348</v>
      </c>
      <c r="F9">
        <v>0.1459</v>
      </c>
      <c r="G9">
        <v>0.16089999999999999</v>
      </c>
    </row>
    <row r="10" spans="1:7" x14ac:dyDescent="0.25">
      <c r="A10" s="1">
        <v>30</v>
      </c>
      <c r="B10">
        <v>0.25324666670000001</v>
      </c>
      <c r="C10">
        <v>0.25779999999999997</v>
      </c>
      <c r="D10">
        <v>0.26698666669999999</v>
      </c>
      <c r="E10">
        <v>0.1736</v>
      </c>
      <c r="F10">
        <v>0.19170000000000001</v>
      </c>
      <c r="G10">
        <v>0.26500000000000001</v>
      </c>
    </row>
    <row r="11" spans="1:7" x14ac:dyDescent="0.25">
      <c r="A11" s="1">
        <v>40</v>
      </c>
      <c r="B11">
        <v>0.31414666670000002</v>
      </c>
      <c r="C11">
        <v>0.33429999999999999</v>
      </c>
      <c r="D11">
        <v>0.3298866667</v>
      </c>
      <c r="E11">
        <v>0.28249999999999997</v>
      </c>
      <c r="F11">
        <v>0.28320000000000001</v>
      </c>
      <c r="G11">
        <v>0.33689999999999998</v>
      </c>
    </row>
    <row r="12" spans="1:7" x14ac:dyDescent="0.25">
      <c r="A12" s="1">
        <v>60</v>
      </c>
      <c r="B12">
        <v>0.46014666669999998</v>
      </c>
      <c r="C12">
        <v>0.5161</v>
      </c>
      <c r="D12">
        <v>0.51068666669999996</v>
      </c>
      <c r="E12">
        <v>0.4078</v>
      </c>
      <c r="F12">
        <v>0.41970000000000002</v>
      </c>
      <c r="G12">
        <v>0.4249</v>
      </c>
    </row>
    <row r="13" spans="1:7" x14ac:dyDescent="0.25">
      <c r="A13" s="1">
        <v>80</v>
      </c>
      <c r="B13">
        <v>0.61664666670000001</v>
      </c>
      <c r="C13">
        <v>0.6794</v>
      </c>
      <c r="D13">
        <v>0.6675866667</v>
      </c>
      <c r="E13">
        <v>0.48970000000000002</v>
      </c>
      <c r="F13">
        <v>0.50719999999999998</v>
      </c>
      <c r="G13">
        <v>0.51570000000000005</v>
      </c>
    </row>
    <row r="14" spans="1:7" x14ac:dyDescent="0.25">
      <c r="A14" s="1">
        <v>100</v>
      </c>
      <c r="B14">
        <v>0.81364666669999997</v>
      </c>
      <c r="C14">
        <v>0.84899999999999998</v>
      </c>
      <c r="D14">
        <v>0.83818666669999997</v>
      </c>
      <c r="E14">
        <v>0.61499999999999999</v>
      </c>
      <c r="F14">
        <v>0.58350000000000002</v>
      </c>
      <c r="G14">
        <v>0.62970000000000004</v>
      </c>
    </row>
    <row r="15" spans="1:7" x14ac:dyDescent="0.25">
      <c r="A15" s="1">
        <v>150</v>
      </c>
      <c r="B15">
        <v>1.176346667</v>
      </c>
      <c r="C15">
        <v>1.2490000000000001</v>
      </c>
      <c r="D15">
        <v>1.223486667</v>
      </c>
      <c r="E15">
        <v>0.98450000000000004</v>
      </c>
      <c r="F15">
        <v>1.1080000000000001</v>
      </c>
      <c r="G15">
        <v>1.2016</v>
      </c>
    </row>
    <row r="16" spans="1:7" x14ac:dyDescent="0.25">
      <c r="A16" s="1">
        <v>200</v>
      </c>
      <c r="B16">
        <v>1.4976466669999999</v>
      </c>
      <c r="C16">
        <v>1.5348999999999999</v>
      </c>
      <c r="D16">
        <v>1.5466866669999999</v>
      </c>
      <c r="E16">
        <v>1.3234999999999999</v>
      </c>
      <c r="F16">
        <v>1.3045</v>
      </c>
      <c r="G16">
        <v>1.3888</v>
      </c>
    </row>
    <row r="17" spans="1:7" x14ac:dyDescent="0.25">
      <c r="A17" s="1">
        <v>250</v>
      </c>
      <c r="B17">
        <v>1.7923466669999999</v>
      </c>
      <c r="C17">
        <v>1.8495999999999999</v>
      </c>
      <c r="D17">
        <v>1.841986667</v>
      </c>
      <c r="E17">
        <v>1.5887</v>
      </c>
      <c r="F17">
        <v>1.5285</v>
      </c>
      <c r="G17">
        <v>1.5723</v>
      </c>
    </row>
    <row r="18" spans="1:7" x14ac:dyDescent="0.25">
      <c r="A18" s="1">
        <v>300</v>
      </c>
      <c r="B18">
        <v>2.0865466669999999</v>
      </c>
      <c r="C18">
        <v>2.1804999999999999</v>
      </c>
      <c r="D18">
        <v>2.1538866670000001</v>
      </c>
      <c r="E18">
        <v>1.8783000000000001</v>
      </c>
      <c r="F18">
        <v>1.8385</v>
      </c>
      <c r="G18">
        <v>1.8936999999999999</v>
      </c>
    </row>
    <row r="20" spans="1:7" x14ac:dyDescent="0.25">
      <c r="A20" s="1" t="s">
        <v>8</v>
      </c>
      <c r="B20">
        <v>0.94945333330000004</v>
      </c>
      <c r="C20">
        <v>0.96040000000000003</v>
      </c>
      <c r="D20">
        <v>0.94961333329999997</v>
      </c>
      <c r="E20">
        <v>0.95669999999999999</v>
      </c>
      <c r="F20">
        <v>0.94810000000000005</v>
      </c>
      <c r="G20">
        <v>0.9556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9391A-71D4-461B-88A2-D4FABBD96447}">
  <dimension ref="A1:O46"/>
  <sheetViews>
    <sheetView workbookViewId="0">
      <selection activeCell="M23" sqref="M23"/>
    </sheetView>
  </sheetViews>
  <sheetFormatPr defaultRowHeight="15" x14ac:dyDescent="0.25"/>
  <sheetData>
    <row r="1" spans="1:6" x14ac:dyDescent="0.25">
      <c r="B1" t="s">
        <v>9</v>
      </c>
      <c r="C1" t="s">
        <v>9</v>
      </c>
      <c r="D1" t="s">
        <v>9</v>
      </c>
      <c r="E1" t="s">
        <v>9</v>
      </c>
      <c r="F1" t="s">
        <v>9</v>
      </c>
    </row>
    <row r="2" spans="1:6" x14ac:dyDescent="0.25"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3" spans="1:6" x14ac:dyDescent="0.25">
      <c r="A3">
        <v>1</v>
      </c>
      <c r="B3">
        <v>0.9617</v>
      </c>
      <c r="C3">
        <v>1.0318000000000001</v>
      </c>
      <c r="D3">
        <v>1.1202000000000001</v>
      </c>
      <c r="E3">
        <v>1.3253999999999999</v>
      </c>
      <c r="F3">
        <v>2.1743999999999999</v>
      </c>
    </row>
    <row r="4" spans="1:6" x14ac:dyDescent="0.25">
      <c r="A4">
        <v>2</v>
      </c>
      <c r="B4">
        <v>0.96579999999999999</v>
      </c>
      <c r="C4">
        <v>1.0325</v>
      </c>
      <c r="D4">
        <v>1.1204000000000001</v>
      </c>
      <c r="E4">
        <v>1.3107</v>
      </c>
      <c r="F4">
        <v>2.2054</v>
      </c>
    </row>
    <row r="5" spans="1:6" x14ac:dyDescent="0.25">
      <c r="A5">
        <v>3</v>
      </c>
      <c r="B5">
        <v>0.97419999999999995</v>
      </c>
      <c r="C5">
        <v>1.0359</v>
      </c>
      <c r="D5">
        <v>1.1206</v>
      </c>
      <c r="E5">
        <v>1.3072999999999999</v>
      </c>
      <c r="F5">
        <v>2.1791999999999998</v>
      </c>
    </row>
    <row r="6" spans="1:6" x14ac:dyDescent="0.25">
      <c r="A6">
        <v>4</v>
      </c>
      <c r="B6">
        <v>0.96689999999999998</v>
      </c>
      <c r="C6">
        <v>1.056</v>
      </c>
      <c r="D6">
        <v>1.1245000000000001</v>
      </c>
      <c r="E6">
        <v>1.2842</v>
      </c>
      <c r="F6">
        <v>2.1699000000000002</v>
      </c>
    </row>
    <row r="7" spans="1:6" x14ac:dyDescent="0.25">
      <c r="A7">
        <v>5</v>
      </c>
      <c r="B7">
        <v>0.96760000000000002</v>
      </c>
      <c r="C7">
        <v>1.0725</v>
      </c>
      <c r="D7">
        <v>1.1237999999999999</v>
      </c>
      <c r="E7">
        <v>1.3125</v>
      </c>
      <c r="F7">
        <v>2.1831999999999998</v>
      </c>
    </row>
    <row r="8" spans="1:6" x14ac:dyDescent="0.25">
      <c r="A8">
        <v>6</v>
      </c>
      <c r="B8">
        <v>0.96599999999999997</v>
      </c>
      <c r="C8">
        <v>1.0395000000000001</v>
      </c>
      <c r="D8">
        <v>1.1237999999999999</v>
      </c>
      <c r="E8">
        <v>1.2685</v>
      </c>
      <c r="F8">
        <v>2.214</v>
      </c>
    </row>
    <row r="9" spans="1:6" x14ac:dyDescent="0.25">
      <c r="A9">
        <v>7</v>
      </c>
      <c r="B9">
        <v>0.97309999999999997</v>
      </c>
      <c r="C9">
        <v>1.0397000000000001</v>
      </c>
      <c r="D9">
        <v>1.1218999999999999</v>
      </c>
      <c r="E9">
        <v>1.2804</v>
      </c>
      <c r="F9">
        <v>2.2004999999999999</v>
      </c>
    </row>
    <row r="10" spans="1:6" x14ac:dyDescent="0.25">
      <c r="A10">
        <v>8</v>
      </c>
      <c r="B10">
        <v>0.96499999999999997</v>
      </c>
      <c r="C10">
        <v>1.0566</v>
      </c>
      <c r="D10">
        <v>1.1224000000000001</v>
      </c>
      <c r="E10">
        <v>1.2654000000000001</v>
      </c>
      <c r="F10">
        <v>2.1661000000000001</v>
      </c>
    </row>
    <row r="11" spans="1:6" x14ac:dyDescent="0.25">
      <c r="A11">
        <v>9</v>
      </c>
      <c r="B11">
        <v>0.97019999999999995</v>
      </c>
      <c r="C11">
        <v>1.0381</v>
      </c>
      <c r="D11">
        <v>1.1223000000000001</v>
      </c>
      <c r="E11">
        <v>1.2646999999999999</v>
      </c>
      <c r="F11">
        <v>2.1913</v>
      </c>
    </row>
    <row r="12" spans="1:6" x14ac:dyDescent="0.25">
      <c r="A12">
        <v>10</v>
      </c>
      <c r="B12">
        <v>0.96519999999999995</v>
      </c>
      <c r="C12">
        <v>1.0619000000000001</v>
      </c>
      <c r="D12">
        <v>1.1194999999999999</v>
      </c>
      <c r="E12">
        <v>1.2652000000000001</v>
      </c>
      <c r="F12">
        <v>2.1518999999999999</v>
      </c>
    </row>
    <row r="13" spans="1:6" x14ac:dyDescent="0.25">
      <c r="A13">
        <v>11</v>
      </c>
      <c r="B13">
        <v>0.96199999999999997</v>
      </c>
      <c r="C13">
        <v>1.0565</v>
      </c>
      <c r="D13">
        <v>1.1127</v>
      </c>
      <c r="E13">
        <v>1.3051999999999999</v>
      </c>
      <c r="F13">
        <v>2.1711999999999998</v>
      </c>
    </row>
    <row r="14" spans="1:6" x14ac:dyDescent="0.25">
      <c r="A14">
        <v>12</v>
      </c>
      <c r="B14">
        <v>0.96060000000000001</v>
      </c>
      <c r="C14">
        <v>1.0578000000000001</v>
      </c>
      <c r="D14">
        <v>1.1105</v>
      </c>
      <c r="E14">
        <v>1.2958000000000001</v>
      </c>
      <c r="F14">
        <v>2.1850999999999998</v>
      </c>
    </row>
    <row r="17" spans="1:15" x14ac:dyDescent="0.25">
      <c r="A17" t="s">
        <v>15</v>
      </c>
      <c r="B17">
        <v>0.96650000000000003</v>
      </c>
      <c r="C17">
        <v>1.0482</v>
      </c>
      <c r="D17">
        <v>1.2904</v>
      </c>
      <c r="E17">
        <v>2.1827000000000001</v>
      </c>
    </row>
    <row r="18" spans="1:15" x14ac:dyDescent="0.25">
      <c r="A18" t="s">
        <v>16</v>
      </c>
      <c r="B18">
        <v>4.3E-3</v>
      </c>
      <c r="C18">
        <v>1.34E-2</v>
      </c>
      <c r="D18">
        <v>2.1700000000000001E-2</v>
      </c>
      <c r="E18">
        <v>1.78E-2</v>
      </c>
    </row>
    <row r="23" spans="1:15" x14ac:dyDescent="0.25">
      <c r="B23" t="s">
        <v>17</v>
      </c>
    </row>
    <row r="24" spans="1:15" x14ac:dyDescent="0.25">
      <c r="B24" t="s">
        <v>18</v>
      </c>
    </row>
    <row r="25" spans="1:15" x14ac:dyDescent="0.25">
      <c r="B25" t="s">
        <v>19</v>
      </c>
    </row>
    <row r="26" spans="1:15" x14ac:dyDescent="0.25">
      <c r="A26" t="s">
        <v>6</v>
      </c>
      <c r="B26" t="s">
        <v>6</v>
      </c>
      <c r="H26" t="s">
        <v>20</v>
      </c>
      <c r="N26" t="s">
        <v>21</v>
      </c>
      <c r="O26" t="s">
        <v>22</v>
      </c>
    </row>
    <row r="27" spans="1:15" x14ac:dyDescent="0.25">
      <c r="B27" t="s">
        <v>10</v>
      </c>
      <c r="C27">
        <v>10</v>
      </c>
      <c r="D27">
        <v>20</v>
      </c>
      <c r="E27">
        <v>40</v>
      </c>
      <c r="F27">
        <v>150</v>
      </c>
      <c r="H27" t="s">
        <v>23</v>
      </c>
      <c r="I27">
        <v>10</v>
      </c>
      <c r="J27">
        <v>20</v>
      </c>
      <c r="K27">
        <v>40</v>
      </c>
      <c r="L27">
        <v>150</v>
      </c>
    </row>
    <row r="28" spans="1:15" x14ac:dyDescent="0.25">
      <c r="A28">
        <v>1</v>
      </c>
      <c r="B28">
        <v>-1.36</v>
      </c>
      <c r="C28">
        <v>7.08</v>
      </c>
      <c r="D28">
        <v>17.73</v>
      </c>
      <c r="E28">
        <v>42.45</v>
      </c>
      <c r="F28">
        <v>144.74</v>
      </c>
      <c r="I28">
        <v>-29.18674699</v>
      </c>
      <c r="J28">
        <v>-11.34036145</v>
      </c>
      <c r="K28">
        <v>6.137048193</v>
      </c>
      <c r="L28">
        <v>-3.504016064</v>
      </c>
      <c r="N28">
        <v>10</v>
      </c>
      <c r="O28">
        <v>5.0999999999999996</v>
      </c>
    </row>
    <row r="29" spans="1:15" x14ac:dyDescent="0.25">
      <c r="A29">
        <v>2</v>
      </c>
      <c r="B29">
        <v>-0.87</v>
      </c>
      <c r="C29">
        <v>7.17</v>
      </c>
      <c r="D29">
        <v>17.760000000000002</v>
      </c>
      <c r="E29">
        <v>40.68</v>
      </c>
      <c r="F29">
        <v>148.47999999999999</v>
      </c>
      <c r="I29">
        <v>-28.343373490000001</v>
      </c>
      <c r="J29">
        <v>-11.219879519999999</v>
      </c>
      <c r="K29">
        <v>1.7093373489999999</v>
      </c>
      <c r="L29">
        <v>-1.014056225</v>
      </c>
      <c r="N29">
        <v>40</v>
      </c>
      <c r="O29">
        <v>8.3000000000000007</v>
      </c>
    </row>
    <row r="30" spans="1:15" x14ac:dyDescent="0.25">
      <c r="A30">
        <v>3</v>
      </c>
      <c r="B30">
        <v>0.14000000000000001</v>
      </c>
      <c r="C30">
        <v>7.58</v>
      </c>
      <c r="D30">
        <v>17.78</v>
      </c>
      <c r="E30">
        <v>40.270000000000003</v>
      </c>
      <c r="F30">
        <v>145.32</v>
      </c>
      <c r="I30">
        <v>-24.246987950000001</v>
      </c>
      <c r="J30">
        <v>-11.099397590000001</v>
      </c>
      <c r="K30">
        <v>0.6852409639</v>
      </c>
      <c r="L30">
        <v>-3.1184738959999998</v>
      </c>
      <c r="N30">
        <v>150</v>
      </c>
      <c r="O30">
        <v>6.8</v>
      </c>
    </row>
    <row r="31" spans="1:15" x14ac:dyDescent="0.25">
      <c r="A31">
        <v>4</v>
      </c>
      <c r="B31">
        <v>-0.74</v>
      </c>
      <c r="C31">
        <v>10</v>
      </c>
      <c r="D31">
        <v>18.25</v>
      </c>
      <c r="E31">
        <v>37.49</v>
      </c>
      <c r="F31">
        <v>144.19999999999999</v>
      </c>
      <c r="I31">
        <v>-3.0120481930000002E-2</v>
      </c>
      <c r="J31">
        <v>-8.75</v>
      </c>
      <c r="K31">
        <v>-6.2725903609999998</v>
      </c>
      <c r="L31">
        <v>-3.8654618470000002</v>
      </c>
    </row>
    <row r="32" spans="1:15" x14ac:dyDescent="0.25">
      <c r="A32">
        <v>5</v>
      </c>
      <c r="B32">
        <v>-0.65</v>
      </c>
      <c r="C32">
        <v>11.98</v>
      </c>
      <c r="D32">
        <v>18.170000000000002</v>
      </c>
      <c r="E32">
        <v>40.9</v>
      </c>
      <c r="F32">
        <v>145.80000000000001</v>
      </c>
      <c r="I32">
        <v>19.849397589999999</v>
      </c>
      <c r="J32">
        <v>-9.1716867470000008</v>
      </c>
      <c r="K32">
        <v>2.2515060240000002</v>
      </c>
      <c r="L32">
        <v>-2.7971887550000001</v>
      </c>
    </row>
    <row r="33" spans="1:12" x14ac:dyDescent="0.25">
      <c r="A33">
        <v>6</v>
      </c>
      <c r="B33">
        <v>-0.85</v>
      </c>
      <c r="C33">
        <v>8.01</v>
      </c>
      <c r="D33">
        <v>18.170000000000002</v>
      </c>
      <c r="E33">
        <v>35.6</v>
      </c>
      <c r="F33">
        <v>149.52000000000001</v>
      </c>
      <c r="I33">
        <v>-19.90963855</v>
      </c>
      <c r="J33">
        <v>-9.1716867470000008</v>
      </c>
      <c r="K33">
        <v>-11.001506020000001</v>
      </c>
      <c r="L33">
        <v>-0.32329317270000002</v>
      </c>
    </row>
    <row r="34" spans="1:12" x14ac:dyDescent="0.25">
      <c r="A34">
        <v>7</v>
      </c>
      <c r="B34">
        <v>0.01</v>
      </c>
      <c r="C34">
        <v>8.0299999999999994</v>
      </c>
      <c r="D34">
        <v>17.940000000000001</v>
      </c>
      <c r="E34">
        <v>37.03</v>
      </c>
      <c r="F34">
        <v>147.88999999999999</v>
      </c>
      <c r="I34">
        <v>-19.6686747</v>
      </c>
      <c r="J34">
        <v>-10.316265059999999</v>
      </c>
      <c r="K34">
        <v>-7.4171686750000001</v>
      </c>
      <c r="L34">
        <v>-1.4076305220000001</v>
      </c>
    </row>
    <row r="35" spans="1:12" x14ac:dyDescent="0.25">
      <c r="A35">
        <v>8</v>
      </c>
      <c r="B35">
        <v>-0.97</v>
      </c>
      <c r="C35">
        <v>10.07</v>
      </c>
      <c r="D35">
        <v>18</v>
      </c>
      <c r="E35">
        <v>35.229999999999997</v>
      </c>
      <c r="F35">
        <v>143.74</v>
      </c>
      <c r="I35">
        <v>0.69277108430000001</v>
      </c>
      <c r="J35">
        <v>-10.01506024</v>
      </c>
      <c r="K35">
        <v>-11.93524096</v>
      </c>
      <c r="L35">
        <v>-4.1706827310000003</v>
      </c>
    </row>
    <row r="36" spans="1:12" x14ac:dyDescent="0.25">
      <c r="A36">
        <v>9</v>
      </c>
      <c r="B36">
        <v>-0.34</v>
      </c>
      <c r="C36">
        <v>7.84</v>
      </c>
      <c r="D36">
        <v>17.98</v>
      </c>
      <c r="E36">
        <v>35.14</v>
      </c>
      <c r="F36">
        <v>146.78</v>
      </c>
      <c r="I36">
        <v>-21.59638554</v>
      </c>
      <c r="J36">
        <v>-10.0753012</v>
      </c>
      <c r="K36">
        <v>-12.14608434</v>
      </c>
      <c r="L36">
        <v>-2.1465863449999998</v>
      </c>
    </row>
    <row r="37" spans="1:12" x14ac:dyDescent="0.25">
      <c r="A37">
        <v>10</v>
      </c>
      <c r="B37">
        <v>-0.94</v>
      </c>
      <c r="C37">
        <v>10.71</v>
      </c>
      <c r="D37">
        <v>17.649999999999999</v>
      </c>
      <c r="E37">
        <v>35.200000000000003</v>
      </c>
      <c r="F37">
        <v>142.03</v>
      </c>
      <c r="I37">
        <v>7.0783132530000001</v>
      </c>
      <c r="J37">
        <v>-11.76204819</v>
      </c>
      <c r="K37">
        <v>-11.99548193</v>
      </c>
      <c r="L37">
        <v>-5.3112449799999997</v>
      </c>
    </row>
    <row r="38" spans="1:12" x14ac:dyDescent="0.25">
      <c r="A38">
        <v>11</v>
      </c>
      <c r="B38">
        <v>-1.33</v>
      </c>
      <c r="C38">
        <v>10.06</v>
      </c>
      <c r="D38">
        <v>16.829999999999998</v>
      </c>
      <c r="E38">
        <v>40.020000000000003</v>
      </c>
      <c r="F38">
        <v>144.36000000000001</v>
      </c>
      <c r="I38">
        <v>0.57228915660000002</v>
      </c>
      <c r="J38">
        <v>-15.85843373</v>
      </c>
      <c r="K38">
        <v>5.2710843370000003E-2</v>
      </c>
      <c r="L38">
        <v>-3.761044177</v>
      </c>
    </row>
    <row r="39" spans="1:12" x14ac:dyDescent="0.25">
      <c r="A39">
        <v>12</v>
      </c>
      <c r="B39">
        <v>-1.5</v>
      </c>
      <c r="C39">
        <v>10.210000000000001</v>
      </c>
      <c r="D39">
        <v>16.559999999999999</v>
      </c>
      <c r="E39">
        <v>38.89</v>
      </c>
      <c r="F39">
        <v>146.03</v>
      </c>
      <c r="I39">
        <v>2.1385542169999998</v>
      </c>
      <c r="J39">
        <v>-17.183734940000001</v>
      </c>
      <c r="K39">
        <v>-2.7786144579999998</v>
      </c>
      <c r="L39">
        <v>-2.6445783129999998</v>
      </c>
    </row>
    <row r="41" spans="1:12" x14ac:dyDescent="0.25">
      <c r="A41" t="s">
        <v>15</v>
      </c>
      <c r="B41">
        <v>-0.78</v>
      </c>
      <c r="C41">
        <v>9.06</v>
      </c>
      <c r="D41">
        <v>17.73</v>
      </c>
      <c r="E41">
        <v>38.24</v>
      </c>
      <c r="F41">
        <v>145.74</v>
      </c>
      <c r="H41" t="s">
        <v>15</v>
      </c>
      <c r="I41">
        <v>-9.39</v>
      </c>
      <c r="J41">
        <v>-11.33</v>
      </c>
      <c r="K41">
        <v>-4.3899999999999997</v>
      </c>
      <c r="L41">
        <v>-2.84</v>
      </c>
    </row>
    <row r="42" spans="1:12" x14ac:dyDescent="0.25">
      <c r="A42" t="s">
        <v>16</v>
      </c>
      <c r="B42">
        <v>0.51</v>
      </c>
      <c r="C42">
        <v>1.62</v>
      </c>
      <c r="D42">
        <v>0.52</v>
      </c>
      <c r="E42">
        <v>2.62</v>
      </c>
      <c r="F42">
        <v>2.15</v>
      </c>
    </row>
    <row r="43" spans="1:12" x14ac:dyDescent="0.25">
      <c r="A43" t="s">
        <v>24</v>
      </c>
      <c r="C43">
        <v>5</v>
      </c>
      <c r="D43">
        <v>1.6</v>
      </c>
      <c r="E43">
        <v>8.1</v>
      </c>
      <c r="F43">
        <v>6.6</v>
      </c>
    </row>
    <row r="45" spans="1:12" x14ac:dyDescent="0.25">
      <c r="A45" t="s">
        <v>25</v>
      </c>
      <c r="B45">
        <v>2.1800000000000002</v>
      </c>
      <c r="C45" t="s">
        <v>26</v>
      </c>
      <c r="D45">
        <v>2.1789999999999998</v>
      </c>
    </row>
    <row r="46" spans="1:12" x14ac:dyDescent="0.25">
      <c r="A46" t="s">
        <v>27</v>
      </c>
      <c r="B46">
        <v>7.28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81290-E17D-4F7D-A7E9-A19D909227AA}">
  <dimension ref="A1:G17"/>
  <sheetViews>
    <sheetView topLeftCell="A6" workbookViewId="0">
      <selection activeCell="I3" sqref="I3"/>
    </sheetView>
  </sheetViews>
  <sheetFormatPr defaultRowHeight="15" x14ac:dyDescent="0.25"/>
  <cols>
    <col min="1" max="1" width="9.7109375" bestFit="1" customWidth="1"/>
  </cols>
  <sheetData>
    <row r="1" spans="1:7" x14ac:dyDescent="0.25">
      <c r="A1" s="1"/>
      <c r="B1" s="1" t="s">
        <v>28</v>
      </c>
      <c r="C1" s="1" t="s">
        <v>29</v>
      </c>
      <c r="D1" s="1" t="s">
        <v>0</v>
      </c>
      <c r="E1" s="1" t="s">
        <v>30</v>
      </c>
      <c r="F1" s="1" t="s">
        <v>3</v>
      </c>
      <c r="G1" s="1" t="s">
        <v>4</v>
      </c>
    </row>
    <row r="2" spans="1:7" ht="30.75" customHeight="1" x14ac:dyDescent="0.25">
      <c r="A2" s="1" t="s">
        <v>31</v>
      </c>
      <c r="B2" s="3" t="s">
        <v>32</v>
      </c>
      <c r="C2" s="3"/>
      <c r="D2" s="3"/>
      <c r="E2" s="3"/>
      <c r="F2" s="3"/>
      <c r="G2" s="3"/>
    </row>
    <row r="3" spans="1:7" x14ac:dyDescent="0.25">
      <c r="A3">
        <v>1</v>
      </c>
      <c r="B3">
        <v>0.51500313200000003</v>
      </c>
      <c r="C3">
        <v>0.72034120329999995</v>
      </c>
      <c r="D3">
        <v>0.58317805079999996</v>
      </c>
      <c r="E3">
        <v>0.66509681939999998</v>
      </c>
      <c r="F3">
        <v>0.28674307469999999</v>
      </c>
      <c r="G3">
        <v>0.6515110731</v>
      </c>
    </row>
    <row r="4" spans="1:7" x14ac:dyDescent="0.25">
      <c r="A4">
        <v>2</v>
      </c>
      <c r="B4">
        <v>0.88382534869999996</v>
      </c>
      <c r="C4">
        <v>1.1332653130000001</v>
      </c>
      <c r="D4">
        <v>1.1386500669999999</v>
      </c>
      <c r="E4">
        <v>1.1091786619999999</v>
      </c>
      <c r="F4">
        <v>0.6451411547</v>
      </c>
      <c r="G4">
        <v>1.159534812</v>
      </c>
    </row>
    <row r="5" spans="1:7" x14ac:dyDescent="0.25">
      <c r="A5">
        <v>4</v>
      </c>
      <c r="B5">
        <v>2.1530672179999999</v>
      </c>
      <c r="C5">
        <v>2.364302334</v>
      </c>
      <c r="D5">
        <v>2.170223005</v>
      </c>
      <c r="E5">
        <v>2.1692168710000002</v>
      </c>
      <c r="F5">
        <v>1.7306144539999999</v>
      </c>
      <c r="G5">
        <v>2.4243893619999999</v>
      </c>
    </row>
    <row r="6" spans="1:7" x14ac:dyDescent="0.25">
      <c r="A6">
        <v>6</v>
      </c>
      <c r="B6">
        <v>3.1645065419999998</v>
      </c>
      <c r="C6">
        <v>3.505133566</v>
      </c>
      <c r="D6">
        <v>3.3079688620000001</v>
      </c>
      <c r="E6">
        <v>3.161797762</v>
      </c>
      <c r="F6">
        <v>3.0052399940000001</v>
      </c>
      <c r="G6">
        <v>3.4331228729999999</v>
      </c>
    </row>
    <row r="7" spans="1:7" x14ac:dyDescent="0.25">
      <c r="A7">
        <v>8</v>
      </c>
      <c r="B7">
        <v>4.4332548249999997</v>
      </c>
      <c r="C7">
        <v>4.882323918</v>
      </c>
      <c r="D7">
        <v>4.6419353560000003</v>
      </c>
      <c r="E7">
        <v>4.5957932469999996</v>
      </c>
      <c r="F7">
        <v>4.1774628460000001</v>
      </c>
      <c r="G7">
        <v>4.5195217129999996</v>
      </c>
    </row>
    <row r="8" spans="1:7" x14ac:dyDescent="0.25">
      <c r="A8">
        <v>10</v>
      </c>
      <c r="B8">
        <v>5.5554276570000001</v>
      </c>
      <c r="C8">
        <v>5.7756015630000004</v>
      </c>
      <c r="D8">
        <v>5.7031965329999998</v>
      </c>
      <c r="E8">
        <v>5.3786125179999997</v>
      </c>
      <c r="F8">
        <v>5.3981960119999997</v>
      </c>
      <c r="G8">
        <v>5.5993933680000003</v>
      </c>
    </row>
    <row r="9" spans="1:7" x14ac:dyDescent="0.25">
      <c r="A9">
        <v>15</v>
      </c>
      <c r="B9">
        <v>7.510388957</v>
      </c>
      <c r="C9">
        <v>9.1316372720000007</v>
      </c>
      <c r="D9">
        <v>9.0987749170000001</v>
      </c>
      <c r="E9">
        <v>8.3717069629999994</v>
      </c>
      <c r="F9">
        <v>8.1597121060000006</v>
      </c>
      <c r="G9">
        <v>8.5814094539999992</v>
      </c>
    </row>
    <row r="10" spans="1:7" x14ac:dyDescent="0.25">
      <c r="A10">
        <v>25</v>
      </c>
      <c r="B10">
        <v>13.4964634</v>
      </c>
      <c r="C10">
        <v>15.312136349999999</v>
      </c>
      <c r="D10">
        <v>15.04200936</v>
      </c>
      <c r="E10">
        <v>14.47310066</v>
      </c>
      <c r="F10">
        <v>14.28368309</v>
      </c>
      <c r="G10">
        <v>14.05835342</v>
      </c>
    </row>
    <row r="11" spans="1:7" x14ac:dyDescent="0.25">
      <c r="A11">
        <v>35</v>
      </c>
      <c r="B11">
        <v>20.18356477</v>
      </c>
      <c r="C11">
        <v>20.7275235</v>
      </c>
      <c r="D11">
        <v>19.674901970000001</v>
      </c>
      <c r="E11">
        <v>19.415157319999999</v>
      </c>
      <c r="F11">
        <v>20.176099090000001</v>
      </c>
      <c r="G11">
        <v>20.3770256</v>
      </c>
    </row>
    <row r="12" spans="1:7" x14ac:dyDescent="0.25">
      <c r="A12">
        <v>45</v>
      </c>
      <c r="B12">
        <v>26.41497193</v>
      </c>
      <c r="C12">
        <v>28.79444092</v>
      </c>
      <c r="D12">
        <v>27.516904839999999</v>
      </c>
      <c r="E12">
        <v>26.41366768</v>
      </c>
      <c r="F12">
        <v>26.838599469999998</v>
      </c>
      <c r="G12">
        <v>26.723754880000001</v>
      </c>
    </row>
    <row r="13" spans="1:7" x14ac:dyDescent="0.25">
      <c r="A13">
        <v>55</v>
      </c>
      <c r="B13">
        <v>29.77545701</v>
      </c>
      <c r="C13">
        <v>32.68333595</v>
      </c>
      <c r="D13">
        <v>32.226608280000001</v>
      </c>
      <c r="E13">
        <v>31.531532290000001</v>
      </c>
      <c r="F13">
        <v>32.627515099999997</v>
      </c>
      <c r="G13">
        <v>32.35436249</v>
      </c>
    </row>
    <row r="14" spans="1:7" x14ac:dyDescent="0.25">
      <c r="A14">
        <v>65</v>
      </c>
      <c r="B14">
        <v>34.747821440000003</v>
      </c>
      <c r="C14">
        <v>39.84892052</v>
      </c>
      <c r="D14">
        <v>38.387310030000002</v>
      </c>
      <c r="E14">
        <v>37.572715760000001</v>
      </c>
      <c r="F14">
        <v>37.970681450000001</v>
      </c>
      <c r="G14">
        <v>37.421146389999997</v>
      </c>
    </row>
    <row r="15" spans="1:7" x14ac:dyDescent="0.25">
      <c r="A15">
        <v>75</v>
      </c>
      <c r="B15">
        <v>38.035312279999999</v>
      </c>
      <c r="C15">
        <v>45.206498799999999</v>
      </c>
      <c r="D15">
        <v>44.197334300000001</v>
      </c>
      <c r="E15">
        <v>42.636859889999997</v>
      </c>
      <c r="F15">
        <v>44.649323729999999</v>
      </c>
      <c r="G15">
        <v>43.846618650000003</v>
      </c>
    </row>
    <row r="16" spans="1:7" x14ac:dyDescent="0.25">
      <c r="A16">
        <v>85</v>
      </c>
      <c r="B16">
        <v>44.104430780000001</v>
      </c>
      <c r="C16">
        <v>50.080388720000002</v>
      </c>
      <c r="D16">
        <v>48.500427250000001</v>
      </c>
      <c r="E16">
        <v>47.45325089</v>
      </c>
      <c r="F16">
        <v>50.589104919999997</v>
      </c>
      <c r="G16">
        <v>49.399097439999998</v>
      </c>
    </row>
    <row r="17" spans="1:7" x14ac:dyDescent="0.25">
      <c r="A17">
        <v>100</v>
      </c>
      <c r="B17">
        <v>49.181670769999997</v>
      </c>
      <c r="C17">
        <v>59.034715349999999</v>
      </c>
      <c r="D17">
        <v>58.469879159999998</v>
      </c>
      <c r="E17">
        <v>56.381187439999998</v>
      </c>
      <c r="F17">
        <v>57.00888183</v>
      </c>
      <c r="G17">
        <v>55.091514590000003</v>
      </c>
    </row>
  </sheetData>
  <mergeCells count="1">
    <mergeCell ref="B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A4C90-748C-4180-9698-DAF3E5C5E496}">
  <dimension ref="A1:AD89"/>
  <sheetViews>
    <sheetView topLeftCell="M1" workbookViewId="0">
      <selection activeCell="R73" sqref="R73"/>
    </sheetView>
  </sheetViews>
  <sheetFormatPr defaultRowHeight="15" x14ac:dyDescent="0.25"/>
  <cols>
    <col min="15" max="15" width="15.5703125" bestFit="1" customWidth="1"/>
  </cols>
  <sheetData>
    <row r="1" spans="1:30" ht="15.75" thickBot="1" x14ac:dyDescent="0.3">
      <c r="A1" s="1"/>
      <c r="B1" s="1" t="s">
        <v>28</v>
      </c>
      <c r="C1" s="1" t="s">
        <v>29</v>
      </c>
      <c r="D1" s="1" t="s">
        <v>0</v>
      </c>
      <c r="E1" s="1" t="s">
        <v>30</v>
      </c>
      <c r="F1" s="1" t="s">
        <v>3</v>
      </c>
      <c r="G1" s="1" t="s">
        <v>4</v>
      </c>
    </row>
    <row r="2" spans="1:30" ht="30.75" customHeight="1" thickBot="1" x14ac:dyDescent="0.3">
      <c r="A2" s="1" t="s">
        <v>31</v>
      </c>
      <c r="B2" s="3" t="s">
        <v>33</v>
      </c>
      <c r="C2" s="3"/>
      <c r="D2" s="3"/>
      <c r="E2" s="3"/>
      <c r="F2" s="3"/>
      <c r="G2" s="3"/>
      <c r="M2" s="1" t="s">
        <v>9</v>
      </c>
      <c r="N2" s="1" t="s">
        <v>8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40</v>
      </c>
      <c r="V2" s="1" t="s">
        <v>41</v>
      </c>
      <c r="W2" s="1" t="s">
        <v>42</v>
      </c>
      <c r="X2" s="1" t="s">
        <v>43</v>
      </c>
      <c r="Y2" s="1" t="s">
        <v>44</v>
      </c>
      <c r="Z2" s="1" t="s">
        <v>45</v>
      </c>
      <c r="AA2" s="1" t="s">
        <v>46</v>
      </c>
      <c r="AB2" s="1" t="s">
        <v>47</v>
      </c>
      <c r="AD2" s="2"/>
    </row>
    <row r="3" spans="1:30" ht="15.75" thickBot="1" x14ac:dyDescent="0.3">
      <c r="A3">
        <v>1</v>
      </c>
      <c r="B3">
        <v>1.209E-2</v>
      </c>
      <c r="C3">
        <v>6.8999999999999999E-3</v>
      </c>
      <c r="D3">
        <v>6.333333333E-3</v>
      </c>
      <c r="E3">
        <v>6.1000000000000004E-3</v>
      </c>
      <c r="F3">
        <v>8.9999999999999998E-4</v>
      </c>
      <c r="G3">
        <v>5.5999999999999999E-3</v>
      </c>
      <c r="M3" s="1">
        <v>1</v>
      </c>
      <c r="N3">
        <v>0.90459999999999996</v>
      </c>
      <c r="P3">
        <v>0.91049999999999998</v>
      </c>
      <c r="Q3">
        <v>0.93430000000000002</v>
      </c>
      <c r="R3">
        <v>0.93620000000000003</v>
      </c>
      <c r="S3">
        <v>0.94350000000000001</v>
      </c>
      <c r="T3">
        <v>0.95169999999999999</v>
      </c>
      <c r="U3">
        <v>0.97440000000000004</v>
      </c>
      <c r="V3">
        <v>1.0994999999999999</v>
      </c>
      <c r="W3">
        <v>1.1395999999999999</v>
      </c>
      <c r="X3">
        <v>1.1984999999999999</v>
      </c>
      <c r="Y3">
        <v>1.2333000000000001</v>
      </c>
      <c r="Z3">
        <v>1.2994000000000001</v>
      </c>
      <c r="AA3">
        <v>1.3465</v>
      </c>
      <c r="AB3">
        <v>1.4419</v>
      </c>
      <c r="AD3" s="2"/>
    </row>
    <row r="4" spans="1:30" ht="15.75" thickBot="1" x14ac:dyDescent="0.3">
      <c r="A4">
        <v>2</v>
      </c>
      <c r="B4">
        <v>1.3259999999999999E-2</v>
      </c>
      <c r="C4">
        <v>1.11E-2</v>
      </c>
      <c r="D4">
        <v>1.1333333330000001E-2</v>
      </c>
      <c r="E4">
        <v>1.06E-2</v>
      </c>
      <c r="F4">
        <v>5.4000000000000003E-3</v>
      </c>
      <c r="G4">
        <v>1.0800000000000001E-2</v>
      </c>
      <c r="M4" s="1">
        <v>2</v>
      </c>
      <c r="N4">
        <v>0.90459999999999996</v>
      </c>
      <c r="O4" s="1" t="s">
        <v>50</v>
      </c>
      <c r="P4">
        <v>0.91049999999999998</v>
      </c>
      <c r="Q4">
        <v>0.93430000000000002</v>
      </c>
      <c r="R4">
        <v>0.93620000000000003</v>
      </c>
      <c r="S4">
        <v>0.94359999999999999</v>
      </c>
      <c r="T4">
        <v>0.95169999999999999</v>
      </c>
      <c r="U4">
        <v>0.97440000000000004</v>
      </c>
      <c r="V4">
        <v>1.0998000000000001</v>
      </c>
      <c r="W4">
        <v>1.1397999999999999</v>
      </c>
      <c r="X4">
        <v>1.1992</v>
      </c>
      <c r="Y4">
        <v>1.2334000000000001</v>
      </c>
      <c r="Z4">
        <v>1.3</v>
      </c>
      <c r="AA4">
        <v>1.3467</v>
      </c>
      <c r="AB4">
        <v>1.4419999999999999</v>
      </c>
      <c r="AD4" s="2"/>
    </row>
    <row r="5" spans="1:30" ht="15.75" thickBot="1" x14ac:dyDescent="0.3">
      <c r="A5">
        <v>4</v>
      </c>
      <c r="B5">
        <v>2.4279999999999999E-2</v>
      </c>
      <c r="C5">
        <v>2.0500000000000001E-2</v>
      </c>
      <c r="D5">
        <v>2.3733333329999998E-2</v>
      </c>
      <c r="E5">
        <v>1.9E-2</v>
      </c>
      <c r="F5">
        <v>1.5699999999999999E-2</v>
      </c>
      <c r="G5">
        <v>2.24E-2</v>
      </c>
      <c r="M5" s="1">
        <v>3</v>
      </c>
      <c r="N5">
        <v>0.90449999999999997</v>
      </c>
      <c r="O5">
        <v>15</v>
      </c>
      <c r="P5">
        <v>0.91049999999999998</v>
      </c>
      <c r="Q5">
        <v>0.93430000000000002</v>
      </c>
      <c r="R5">
        <v>0.93620000000000003</v>
      </c>
      <c r="S5">
        <v>0.94359999999999999</v>
      </c>
      <c r="T5">
        <v>0.95169999999999999</v>
      </c>
      <c r="U5">
        <v>0.97440000000000004</v>
      </c>
      <c r="V5">
        <v>1.1000000000000001</v>
      </c>
      <c r="W5">
        <v>1.1400999999999999</v>
      </c>
      <c r="X5">
        <v>1.1995</v>
      </c>
      <c r="Y5">
        <v>1.2337</v>
      </c>
      <c r="Z5">
        <v>1.3003</v>
      </c>
      <c r="AA5">
        <v>1.3471</v>
      </c>
      <c r="AB5">
        <v>1.4422999999999999</v>
      </c>
      <c r="AD5" s="2"/>
    </row>
    <row r="6" spans="1:30" ht="15.75" thickBot="1" x14ac:dyDescent="0.3">
      <c r="A6">
        <v>6</v>
      </c>
      <c r="B6">
        <v>3.7629999999999997E-2</v>
      </c>
      <c r="C6">
        <v>3.39E-2</v>
      </c>
      <c r="D6">
        <v>3.5233333329999998E-2</v>
      </c>
      <c r="E6">
        <v>3.2000000000000001E-2</v>
      </c>
      <c r="F6">
        <v>2.6700000000000002E-2</v>
      </c>
      <c r="G6">
        <v>3.4099999999999998E-2</v>
      </c>
      <c r="M6" s="1">
        <v>4</v>
      </c>
      <c r="N6">
        <v>0.90449999999999997</v>
      </c>
      <c r="P6">
        <v>0.91049999999999998</v>
      </c>
      <c r="Q6">
        <v>0.93430000000000002</v>
      </c>
      <c r="R6">
        <v>0.93620000000000003</v>
      </c>
      <c r="S6">
        <v>0.94359999999999999</v>
      </c>
      <c r="T6">
        <v>0.95179999999999998</v>
      </c>
      <c r="U6">
        <v>0.97450000000000003</v>
      </c>
      <c r="V6">
        <v>1.1001000000000001</v>
      </c>
      <c r="W6">
        <v>1.1402000000000001</v>
      </c>
      <c r="X6">
        <v>1.1997</v>
      </c>
      <c r="Y6">
        <v>1.2338</v>
      </c>
      <c r="Z6">
        <v>1.3002</v>
      </c>
      <c r="AA6">
        <v>1.3472999999999999</v>
      </c>
      <c r="AB6">
        <v>1.4423999999999999</v>
      </c>
      <c r="AD6" s="2"/>
    </row>
    <row r="7" spans="1:30" ht="15.75" thickBot="1" x14ac:dyDescent="0.3">
      <c r="A7">
        <v>8</v>
      </c>
      <c r="B7">
        <v>4.8759999999999998E-2</v>
      </c>
      <c r="C7">
        <v>4.5400000000000003E-2</v>
      </c>
      <c r="D7">
        <v>5.0033333329999999E-2</v>
      </c>
      <c r="E7">
        <v>4.4999999999999998E-2</v>
      </c>
      <c r="F7">
        <v>3.6499999999999998E-2</v>
      </c>
      <c r="G7">
        <v>4.53E-2</v>
      </c>
      <c r="M7" s="1">
        <v>5</v>
      </c>
      <c r="N7">
        <v>0.90449999999999997</v>
      </c>
      <c r="P7">
        <v>0.91049999999999998</v>
      </c>
      <c r="Q7">
        <v>0.93420000000000003</v>
      </c>
      <c r="R7">
        <v>0.93620000000000003</v>
      </c>
      <c r="S7">
        <v>0.94359999999999999</v>
      </c>
      <c r="T7">
        <v>0.95179999999999998</v>
      </c>
      <c r="U7">
        <v>0.97450000000000003</v>
      </c>
      <c r="V7">
        <v>1.1002000000000001</v>
      </c>
      <c r="W7">
        <v>1.1402000000000001</v>
      </c>
      <c r="X7">
        <v>1.1998</v>
      </c>
      <c r="Y7">
        <v>1.2339</v>
      </c>
      <c r="Z7">
        <v>1.3003</v>
      </c>
      <c r="AA7">
        <v>1.3474999999999999</v>
      </c>
      <c r="AB7">
        <v>1.4424999999999999</v>
      </c>
      <c r="AD7" s="2"/>
    </row>
    <row r="8" spans="1:30" ht="15.75" thickBot="1" x14ac:dyDescent="0.3">
      <c r="A8">
        <v>10</v>
      </c>
      <c r="B8">
        <v>6.1330000000000003E-2</v>
      </c>
      <c r="C8">
        <v>5.2600000000000001E-2</v>
      </c>
      <c r="D8">
        <v>6.023333333E-2</v>
      </c>
      <c r="E8">
        <v>5.3699999999999998E-2</v>
      </c>
      <c r="F8">
        <v>4.7899999999999998E-2</v>
      </c>
      <c r="G8">
        <v>5.67E-2</v>
      </c>
      <c r="M8" s="1">
        <v>6</v>
      </c>
      <c r="N8">
        <v>0.90439999999999998</v>
      </c>
      <c r="P8">
        <v>0.91049999999999998</v>
      </c>
      <c r="Q8">
        <v>0.93420000000000003</v>
      </c>
      <c r="R8">
        <v>0.93620000000000003</v>
      </c>
      <c r="S8">
        <v>0.94359999999999999</v>
      </c>
      <c r="T8">
        <v>0.95179999999999998</v>
      </c>
      <c r="U8">
        <v>0.97460000000000002</v>
      </c>
      <c r="V8">
        <v>1.1002000000000001</v>
      </c>
      <c r="W8">
        <v>1.1403000000000001</v>
      </c>
      <c r="X8">
        <v>1.1998</v>
      </c>
      <c r="Y8">
        <v>1.234</v>
      </c>
      <c r="Z8">
        <v>1.3003</v>
      </c>
      <c r="AA8">
        <v>1.3475999999999999</v>
      </c>
      <c r="AB8">
        <v>1.4426000000000001</v>
      </c>
      <c r="AD8" s="2"/>
    </row>
    <row r="9" spans="1:30" ht="15.75" thickBot="1" x14ac:dyDescent="0.3">
      <c r="A9">
        <v>15</v>
      </c>
      <c r="B9">
        <v>8.2140000000000005E-2</v>
      </c>
      <c r="C9">
        <v>8.5666666670000002E-2</v>
      </c>
      <c r="D9">
        <v>8.9933333330000004E-2</v>
      </c>
      <c r="E9">
        <v>8.6099999999999996E-2</v>
      </c>
      <c r="F9">
        <v>7.3400000000000007E-2</v>
      </c>
      <c r="G9">
        <v>7.8E-2</v>
      </c>
      <c r="M9" s="1">
        <v>7</v>
      </c>
      <c r="N9">
        <v>0.90439999999999998</v>
      </c>
      <c r="P9">
        <v>0.91049999999999998</v>
      </c>
      <c r="Q9">
        <v>0.93420000000000003</v>
      </c>
      <c r="R9">
        <v>0.93620000000000003</v>
      </c>
      <c r="S9">
        <v>0.94350000000000001</v>
      </c>
      <c r="T9">
        <v>0.95179999999999998</v>
      </c>
      <c r="U9">
        <v>0.97460000000000002</v>
      </c>
      <c r="V9">
        <v>1.1003000000000001</v>
      </c>
      <c r="W9">
        <v>1.1403000000000001</v>
      </c>
      <c r="X9">
        <v>1.1998</v>
      </c>
      <c r="Y9">
        <v>1.2341</v>
      </c>
      <c r="Z9">
        <v>1.3004</v>
      </c>
      <c r="AA9">
        <v>1.3478000000000001</v>
      </c>
      <c r="AB9">
        <v>1.4426000000000001</v>
      </c>
      <c r="AD9" s="2"/>
    </row>
    <row r="10" spans="1:30" ht="15.75" thickBot="1" x14ac:dyDescent="0.3">
      <c r="A10">
        <v>25</v>
      </c>
      <c r="B10">
        <v>0.14169000000000001</v>
      </c>
      <c r="C10">
        <v>0.14303333330000001</v>
      </c>
      <c r="D10">
        <v>0.15653333329999999</v>
      </c>
      <c r="E10">
        <v>0.1477</v>
      </c>
      <c r="F10">
        <v>0.12620000000000001</v>
      </c>
      <c r="G10">
        <v>0.13150000000000001</v>
      </c>
      <c r="M10" s="1">
        <v>8</v>
      </c>
      <c r="N10">
        <v>0.90439999999999998</v>
      </c>
      <c r="P10">
        <v>0.91049999999999998</v>
      </c>
      <c r="Q10">
        <v>0.93420000000000003</v>
      </c>
      <c r="R10">
        <v>0.93620000000000003</v>
      </c>
      <c r="S10">
        <v>0.94350000000000001</v>
      </c>
      <c r="T10">
        <v>0.95179999999999998</v>
      </c>
      <c r="U10">
        <v>0.97460000000000002</v>
      </c>
      <c r="V10">
        <v>1.1003000000000001</v>
      </c>
      <c r="W10">
        <v>1.1403000000000001</v>
      </c>
      <c r="X10">
        <v>1.1998</v>
      </c>
      <c r="Y10">
        <v>1.2341</v>
      </c>
      <c r="Z10">
        <v>1.3004</v>
      </c>
      <c r="AA10">
        <v>1.3478000000000001</v>
      </c>
      <c r="AB10">
        <v>1.4426000000000001</v>
      </c>
      <c r="AD10" s="2"/>
    </row>
    <row r="11" spans="1:30" ht="15.75" thickBot="1" x14ac:dyDescent="0.3">
      <c r="A11">
        <v>35</v>
      </c>
      <c r="B11">
        <v>0.19031000000000001</v>
      </c>
      <c r="C11">
        <v>0.20173333330000001</v>
      </c>
      <c r="D11">
        <v>0.2129333333</v>
      </c>
      <c r="E11">
        <v>0.20499999999999999</v>
      </c>
      <c r="F11">
        <v>0.1822</v>
      </c>
      <c r="G11">
        <v>0.1817</v>
      </c>
      <c r="M11" s="1">
        <v>9</v>
      </c>
      <c r="N11">
        <v>0.90429999999999999</v>
      </c>
      <c r="P11">
        <v>0.91049999999999998</v>
      </c>
      <c r="Q11">
        <v>0.93420000000000003</v>
      </c>
      <c r="R11">
        <v>0.93620000000000003</v>
      </c>
      <c r="S11">
        <v>0.94350000000000001</v>
      </c>
      <c r="T11">
        <v>0.95179999999999998</v>
      </c>
      <c r="U11">
        <v>0.97470000000000001</v>
      </c>
      <c r="V11">
        <v>1.1003000000000001</v>
      </c>
      <c r="W11">
        <v>1.1404000000000001</v>
      </c>
      <c r="X11">
        <v>1.1998</v>
      </c>
      <c r="Y11">
        <v>1.2342</v>
      </c>
      <c r="Z11">
        <v>1.3004</v>
      </c>
      <c r="AA11">
        <v>1.3479000000000001</v>
      </c>
      <c r="AB11">
        <v>1.4426000000000001</v>
      </c>
      <c r="AD11" s="2"/>
    </row>
    <row r="12" spans="1:30" ht="15.75" thickBot="1" x14ac:dyDescent="0.3">
      <c r="A12">
        <v>45</v>
      </c>
      <c r="B12">
        <v>0.27781</v>
      </c>
      <c r="C12">
        <v>0.26996666670000002</v>
      </c>
      <c r="D12">
        <v>0.29353333329999998</v>
      </c>
      <c r="E12">
        <v>0.27929999999999999</v>
      </c>
      <c r="F12">
        <v>0.24199999999999999</v>
      </c>
      <c r="G12">
        <v>0.2427</v>
      </c>
      <c r="M12" s="1">
        <v>10</v>
      </c>
      <c r="N12">
        <v>0.90429999999999999</v>
      </c>
      <c r="P12">
        <v>0.91039999999999999</v>
      </c>
      <c r="Q12">
        <v>0.93420000000000003</v>
      </c>
      <c r="R12">
        <v>0.93620000000000003</v>
      </c>
      <c r="S12">
        <v>0.94350000000000001</v>
      </c>
      <c r="T12">
        <v>0.95179999999999998</v>
      </c>
      <c r="U12">
        <v>0.97470000000000001</v>
      </c>
      <c r="V12">
        <v>1.1003000000000001</v>
      </c>
      <c r="W12">
        <v>1.1404000000000001</v>
      </c>
      <c r="X12">
        <v>1.1998</v>
      </c>
      <c r="Y12">
        <v>1.2342</v>
      </c>
      <c r="Z12">
        <v>1.3005</v>
      </c>
      <c r="AA12">
        <v>1.3479000000000001</v>
      </c>
      <c r="AB12">
        <v>1.4426000000000001</v>
      </c>
      <c r="AD12" s="2"/>
    </row>
    <row r="13" spans="1:30" ht="15.75" thickBot="1" x14ac:dyDescent="0.3">
      <c r="A13">
        <v>55</v>
      </c>
      <c r="B13">
        <v>0.31303999999999998</v>
      </c>
      <c r="C13">
        <v>0.30526666670000002</v>
      </c>
      <c r="D13">
        <v>0.3553333333</v>
      </c>
      <c r="E13">
        <v>0.34470000000000001</v>
      </c>
      <c r="F13">
        <v>0.29099999999999998</v>
      </c>
      <c r="G13">
        <v>0.29039999999999999</v>
      </c>
      <c r="M13" s="1">
        <v>11</v>
      </c>
      <c r="N13">
        <v>0.90429999999999999</v>
      </c>
      <c r="P13">
        <v>0.91039999999999999</v>
      </c>
      <c r="Q13">
        <v>0.93420000000000003</v>
      </c>
      <c r="R13">
        <v>0.93610000000000004</v>
      </c>
      <c r="S13">
        <v>0.94350000000000001</v>
      </c>
      <c r="T13">
        <v>0.95179999999999998</v>
      </c>
      <c r="U13">
        <v>0.97470000000000001</v>
      </c>
      <c r="V13">
        <v>1.1003000000000001</v>
      </c>
      <c r="W13">
        <v>1.1404000000000001</v>
      </c>
      <c r="X13">
        <v>1.1998</v>
      </c>
      <c r="Y13">
        <v>1.2342</v>
      </c>
      <c r="Z13">
        <v>1.3005</v>
      </c>
      <c r="AA13">
        <v>1.3480000000000001</v>
      </c>
      <c r="AB13">
        <v>1.4426000000000001</v>
      </c>
      <c r="AD13" s="2"/>
    </row>
    <row r="14" spans="1:30" ht="15.75" thickBot="1" x14ac:dyDescent="0.3">
      <c r="A14">
        <v>65</v>
      </c>
      <c r="B14">
        <v>0.34969</v>
      </c>
      <c r="C14">
        <v>0.3815666667</v>
      </c>
      <c r="D14">
        <v>0.41873333330000001</v>
      </c>
      <c r="E14">
        <v>0.4012</v>
      </c>
      <c r="F14">
        <v>0.3453</v>
      </c>
      <c r="G14">
        <v>0.34620000000000001</v>
      </c>
      <c r="M14" s="1">
        <v>12</v>
      </c>
      <c r="N14">
        <v>0.9042</v>
      </c>
      <c r="P14">
        <v>0.91039999999999999</v>
      </c>
      <c r="Q14">
        <v>0.93420000000000003</v>
      </c>
      <c r="R14">
        <v>0.93610000000000004</v>
      </c>
      <c r="S14">
        <v>0.94350000000000001</v>
      </c>
      <c r="T14">
        <v>0.95179999999999998</v>
      </c>
      <c r="U14">
        <v>0.97470000000000001</v>
      </c>
      <c r="V14">
        <v>1.1003000000000001</v>
      </c>
      <c r="W14">
        <v>1.1404000000000001</v>
      </c>
      <c r="X14">
        <v>1.1997</v>
      </c>
      <c r="Y14">
        <v>1.2342</v>
      </c>
      <c r="Z14">
        <v>1.3005</v>
      </c>
      <c r="AA14">
        <v>1.3480000000000001</v>
      </c>
      <c r="AB14">
        <v>1.4426000000000001</v>
      </c>
      <c r="AD14" s="2"/>
    </row>
    <row r="15" spans="1:30" ht="15.75" thickBot="1" x14ac:dyDescent="0.3">
      <c r="A15">
        <v>75</v>
      </c>
      <c r="B15">
        <v>0.36441000000000001</v>
      </c>
      <c r="C15">
        <v>0.42956666669999999</v>
      </c>
      <c r="D15">
        <v>0.47753333329999997</v>
      </c>
      <c r="E15">
        <v>0.44590000000000002</v>
      </c>
      <c r="F15">
        <v>0.40160000000000001</v>
      </c>
      <c r="G15">
        <v>0.40789999999999998</v>
      </c>
      <c r="M15" s="1">
        <v>13</v>
      </c>
      <c r="N15">
        <v>0.9042</v>
      </c>
      <c r="P15">
        <v>0.91039999999999999</v>
      </c>
      <c r="Q15">
        <v>0.93410000000000004</v>
      </c>
      <c r="R15">
        <v>0.93610000000000004</v>
      </c>
      <c r="S15">
        <v>0.94350000000000001</v>
      </c>
      <c r="T15">
        <v>0.95179999999999998</v>
      </c>
      <c r="U15">
        <v>0.97470000000000001</v>
      </c>
      <c r="V15">
        <v>1.1003000000000001</v>
      </c>
      <c r="W15">
        <v>1.1404000000000001</v>
      </c>
      <c r="X15">
        <v>1.1997</v>
      </c>
      <c r="Y15">
        <v>1.2342</v>
      </c>
      <c r="Z15">
        <v>1.3005</v>
      </c>
      <c r="AA15">
        <v>1.3480000000000001</v>
      </c>
      <c r="AB15">
        <v>1.4426000000000001</v>
      </c>
      <c r="AD15" s="2"/>
    </row>
    <row r="16" spans="1:30" ht="15.75" thickBot="1" x14ac:dyDescent="0.3">
      <c r="A16">
        <v>85</v>
      </c>
      <c r="B16">
        <v>0.42682999999999999</v>
      </c>
      <c r="C16">
        <v>0.504</v>
      </c>
      <c r="D16">
        <v>0.50233333329999996</v>
      </c>
      <c r="E16">
        <v>0.51200000000000001</v>
      </c>
      <c r="F16">
        <v>0.46179999999999999</v>
      </c>
      <c r="G16">
        <v>0.45900000000000002</v>
      </c>
      <c r="M16" s="1">
        <v>14</v>
      </c>
      <c r="N16">
        <v>0.9042</v>
      </c>
      <c r="P16">
        <v>0.91039999999999999</v>
      </c>
      <c r="Q16">
        <v>0.93410000000000004</v>
      </c>
      <c r="R16">
        <v>0.93610000000000004</v>
      </c>
      <c r="S16">
        <v>0.94340000000000002</v>
      </c>
      <c r="T16">
        <v>0.95179999999999998</v>
      </c>
      <c r="U16">
        <v>0.97470000000000001</v>
      </c>
      <c r="V16">
        <v>1.1003000000000001</v>
      </c>
      <c r="W16">
        <v>1.1403000000000001</v>
      </c>
      <c r="X16">
        <v>1.1997</v>
      </c>
      <c r="Y16">
        <v>1.2342</v>
      </c>
      <c r="Z16">
        <v>1.3004</v>
      </c>
      <c r="AA16">
        <v>1.3480000000000001</v>
      </c>
      <c r="AB16">
        <v>1.4424999999999999</v>
      </c>
      <c r="AD16" s="2"/>
    </row>
    <row r="17" spans="1:30" ht="15.75" thickBot="1" x14ac:dyDescent="0.3">
      <c r="A17">
        <v>100</v>
      </c>
      <c r="B17">
        <v>0.47027000000000002</v>
      </c>
      <c r="C17">
        <v>0.59706666669999997</v>
      </c>
      <c r="D17">
        <v>0.57383333329999997</v>
      </c>
      <c r="E17">
        <v>0.61519999999999997</v>
      </c>
      <c r="F17">
        <v>0.52890000000000004</v>
      </c>
      <c r="G17">
        <v>0.51139999999999997</v>
      </c>
      <c r="M17" s="1">
        <v>15</v>
      </c>
      <c r="N17">
        <v>0.9042</v>
      </c>
      <c r="P17">
        <v>0.91039999999999999</v>
      </c>
      <c r="Q17">
        <v>0.93410000000000004</v>
      </c>
      <c r="R17">
        <v>0.93610000000000004</v>
      </c>
      <c r="S17">
        <v>0.94340000000000002</v>
      </c>
      <c r="T17">
        <v>0.95179999999999998</v>
      </c>
      <c r="U17">
        <v>0.97470000000000001</v>
      </c>
      <c r="V17">
        <v>1.1002000000000001</v>
      </c>
      <c r="W17">
        <v>1.1403000000000001</v>
      </c>
      <c r="X17">
        <v>1.1997</v>
      </c>
      <c r="Y17">
        <v>1.2342</v>
      </c>
      <c r="Z17">
        <v>1.3004</v>
      </c>
      <c r="AA17">
        <v>1.3480000000000001</v>
      </c>
      <c r="AB17">
        <v>1.4424999999999999</v>
      </c>
      <c r="AD17" s="2"/>
    </row>
    <row r="18" spans="1:30" ht="15.75" thickBot="1" x14ac:dyDescent="0.3">
      <c r="M18" s="1"/>
      <c r="AD18" s="2"/>
    </row>
    <row r="19" spans="1:30" ht="15.75" thickBot="1" x14ac:dyDescent="0.3">
      <c r="A19" t="s">
        <v>34</v>
      </c>
      <c r="B19">
        <v>0.9</v>
      </c>
      <c r="C19">
        <v>0.90339999999999998</v>
      </c>
      <c r="D19">
        <v>0.9032666667</v>
      </c>
      <c r="E19">
        <v>0.90229999999999999</v>
      </c>
      <c r="F19">
        <v>0.91100000000000003</v>
      </c>
      <c r="G19">
        <v>0.90439999999999998</v>
      </c>
      <c r="M19" s="1" t="s">
        <v>15</v>
      </c>
      <c r="N19">
        <v>0.90439999999999998</v>
      </c>
      <c r="P19">
        <v>0.91049999999999998</v>
      </c>
      <c r="Q19">
        <v>0.93420000000000003</v>
      </c>
      <c r="R19">
        <v>0.93620000000000003</v>
      </c>
      <c r="S19">
        <v>0.94350000000000001</v>
      </c>
      <c r="T19">
        <v>0.95179999999999998</v>
      </c>
      <c r="U19">
        <v>0.97460000000000002</v>
      </c>
      <c r="V19">
        <v>1.1002000000000001</v>
      </c>
      <c r="W19">
        <v>1.1402000000000001</v>
      </c>
      <c r="X19">
        <v>1.1996</v>
      </c>
      <c r="Y19">
        <v>1.234</v>
      </c>
      <c r="Z19">
        <v>1.3003</v>
      </c>
      <c r="AA19">
        <v>1.3475999999999999</v>
      </c>
      <c r="AB19">
        <v>1.4424999999999999</v>
      </c>
      <c r="AD19" s="2"/>
    </row>
    <row r="20" spans="1:30" ht="15.75" thickBot="1" x14ac:dyDescent="0.3">
      <c r="M20" s="1" t="s">
        <v>16</v>
      </c>
      <c r="N20">
        <v>1E-4</v>
      </c>
      <c r="P20">
        <v>5.1E-5</v>
      </c>
      <c r="Q20">
        <v>6.9999999999999994E-5</v>
      </c>
      <c r="R20">
        <v>4.8999999999999998E-5</v>
      </c>
      <c r="S20">
        <v>6.7999999999999999E-5</v>
      </c>
      <c r="T20">
        <v>4.1E-5</v>
      </c>
      <c r="U20">
        <v>1.22E-4</v>
      </c>
      <c r="V20">
        <v>2.32E-4</v>
      </c>
      <c r="W20">
        <v>2.34E-4</v>
      </c>
      <c r="X20">
        <v>3.4900000000000003E-4</v>
      </c>
      <c r="Y20">
        <v>3.0299999999999999E-4</v>
      </c>
      <c r="Z20">
        <v>2.8299999999999999E-4</v>
      </c>
      <c r="AA20">
        <v>4.95E-4</v>
      </c>
      <c r="AB20">
        <v>2.2599999999999999E-4</v>
      </c>
      <c r="AD20" s="2"/>
    </row>
    <row r="21" spans="1:30" ht="15.75" thickBot="1" x14ac:dyDescent="0.3">
      <c r="M21" s="1"/>
      <c r="AD21" s="2"/>
    </row>
    <row r="22" spans="1:30" ht="15.75" thickBot="1" x14ac:dyDescent="0.3">
      <c r="M22" s="1"/>
      <c r="AD22" s="2"/>
    </row>
    <row r="23" spans="1:30" ht="15.75" thickBot="1" x14ac:dyDescent="0.3">
      <c r="M23" s="1"/>
      <c r="AD23" s="2"/>
    </row>
    <row r="24" spans="1:30" ht="15.75" thickBot="1" x14ac:dyDescent="0.3">
      <c r="M24" s="1"/>
      <c r="AD24" s="2"/>
    </row>
    <row r="25" spans="1:30" ht="15.75" thickBot="1" x14ac:dyDescent="0.3">
      <c r="M25" s="1"/>
      <c r="AD25" s="2"/>
    </row>
    <row r="26" spans="1:30" ht="15.75" customHeight="1" thickBot="1" x14ac:dyDescent="0.3">
      <c r="M26" s="1" t="s">
        <v>48</v>
      </c>
      <c r="AD26" s="2"/>
    </row>
    <row r="27" spans="1:30" ht="15.75" thickBot="1" x14ac:dyDescent="0.3">
      <c r="M27" s="1"/>
      <c r="N27" t="s">
        <v>8</v>
      </c>
      <c r="P27">
        <v>2</v>
      </c>
      <c r="Q27">
        <v>4</v>
      </c>
      <c r="R27">
        <v>6</v>
      </c>
      <c r="S27">
        <v>8</v>
      </c>
      <c r="T27">
        <v>10</v>
      </c>
      <c r="U27">
        <v>15</v>
      </c>
      <c r="V27">
        <v>35</v>
      </c>
      <c r="W27">
        <v>45</v>
      </c>
      <c r="X27">
        <v>55</v>
      </c>
      <c r="Y27">
        <v>65</v>
      </c>
      <c r="Z27">
        <v>75</v>
      </c>
      <c r="AA27">
        <v>85</v>
      </c>
      <c r="AB27">
        <v>100</v>
      </c>
      <c r="AD27" s="2"/>
    </row>
    <row r="28" spans="1:30" ht="15.75" thickBot="1" x14ac:dyDescent="0.3">
      <c r="M28" s="1">
        <v>1</v>
      </c>
      <c r="N28">
        <v>-0.31572327039999998</v>
      </c>
      <c r="P28">
        <v>0.8</v>
      </c>
      <c r="Q28">
        <v>5.29</v>
      </c>
      <c r="R28">
        <v>5.65</v>
      </c>
      <c r="S28">
        <v>7.02</v>
      </c>
      <c r="T28">
        <v>8.57</v>
      </c>
      <c r="U28">
        <v>12.85</v>
      </c>
      <c r="V28">
        <v>36.46</v>
      </c>
      <c r="W28">
        <v>44.02</v>
      </c>
      <c r="X28">
        <v>55.14</v>
      </c>
      <c r="Y28">
        <v>61.7</v>
      </c>
      <c r="Z28">
        <v>74.17</v>
      </c>
      <c r="AA28">
        <v>83.06</v>
      </c>
      <c r="AB28">
        <v>101.06</v>
      </c>
      <c r="AD28" s="2"/>
    </row>
    <row r="29" spans="1:30" ht="15.75" thickBot="1" x14ac:dyDescent="0.3">
      <c r="M29" s="1">
        <v>2</v>
      </c>
      <c r="N29">
        <v>-0.31572327039999998</v>
      </c>
      <c r="P29">
        <v>0.8</v>
      </c>
      <c r="Q29">
        <v>5.29</v>
      </c>
      <c r="R29">
        <v>5.65</v>
      </c>
      <c r="S29">
        <v>7.04</v>
      </c>
      <c r="T29">
        <v>8.57</v>
      </c>
      <c r="U29">
        <v>12.85</v>
      </c>
      <c r="V29">
        <v>36.51</v>
      </c>
      <c r="W29">
        <v>44.06</v>
      </c>
      <c r="X29">
        <v>55.27</v>
      </c>
      <c r="Y29">
        <v>61.72</v>
      </c>
      <c r="Z29">
        <v>74.290000000000006</v>
      </c>
      <c r="AA29">
        <v>83.1</v>
      </c>
      <c r="AB29">
        <v>101.08</v>
      </c>
      <c r="AD29" s="2"/>
    </row>
    <row r="30" spans="1:30" ht="15.75" thickBot="1" x14ac:dyDescent="0.3">
      <c r="M30" s="1">
        <v>3</v>
      </c>
      <c r="N30">
        <v>-0.33459119500000001</v>
      </c>
      <c r="P30">
        <v>0.8</v>
      </c>
      <c r="Q30">
        <v>5.29</v>
      </c>
      <c r="R30">
        <v>5.65</v>
      </c>
      <c r="S30">
        <v>7.04</v>
      </c>
      <c r="T30">
        <v>8.57</v>
      </c>
      <c r="U30">
        <v>12.85</v>
      </c>
      <c r="V30">
        <v>36.549999999999997</v>
      </c>
      <c r="W30">
        <v>44.12</v>
      </c>
      <c r="X30">
        <v>55.33</v>
      </c>
      <c r="Y30">
        <v>61.78</v>
      </c>
      <c r="Z30">
        <v>74.34</v>
      </c>
      <c r="AA30">
        <v>83.17</v>
      </c>
      <c r="AB30">
        <v>101.14</v>
      </c>
      <c r="AD30" s="2"/>
    </row>
    <row r="31" spans="1:30" ht="15.75" thickBot="1" x14ac:dyDescent="0.3">
      <c r="M31" s="1">
        <v>4</v>
      </c>
      <c r="N31">
        <v>-0.33459119500000001</v>
      </c>
      <c r="P31">
        <v>0.8</v>
      </c>
      <c r="Q31">
        <v>5.29</v>
      </c>
      <c r="R31">
        <v>5.65</v>
      </c>
      <c r="S31">
        <v>7.04</v>
      </c>
      <c r="T31">
        <v>8.59</v>
      </c>
      <c r="U31">
        <v>12.87</v>
      </c>
      <c r="V31">
        <v>36.57</v>
      </c>
      <c r="W31">
        <v>44.14</v>
      </c>
      <c r="X31">
        <v>55.36</v>
      </c>
      <c r="Y31">
        <v>61.8</v>
      </c>
      <c r="Z31">
        <v>74.33</v>
      </c>
      <c r="AA31">
        <v>83.21</v>
      </c>
      <c r="AB31">
        <v>101.16</v>
      </c>
      <c r="AD31" s="2"/>
    </row>
    <row r="32" spans="1:30" ht="15.75" thickBot="1" x14ac:dyDescent="0.3">
      <c r="M32" s="1">
        <v>5</v>
      </c>
      <c r="N32">
        <v>-0.33459119500000001</v>
      </c>
      <c r="P32">
        <v>0.8</v>
      </c>
      <c r="Q32">
        <v>5.27</v>
      </c>
      <c r="R32">
        <v>5.65</v>
      </c>
      <c r="S32">
        <v>7.04</v>
      </c>
      <c r="T32">
        <v>8.59</v>
      </c>
      <c r="U32">
        <v>12.87</v>
      </c>
      <c r="V32">
        <v>36.590000000000003</v>
      </c>
      <c r="W32">
        <v>44.14</v>
      </c>
      <c r="X32">
        <v>55.38</v>
      </c>
      <c r="Y32">
        <v>61.82</v>
      </c>
      <c r="Z32">
        <v>74.34</v>
      </c>
      <c r="AA32">
        <v>83.25</v>
      </c>
      <c r="AB32">
        <v>101.17</v>
      </c>
      <c r="AD32" s="2"/>
    </row>
    <row r="33" spans="13:30" ht="15.75" thickBot="1" x14ac:dyDescent="0.3">
      <c r="M33" s="1">
        <v>6</v>
      </c>
      <c r="N33">
        <v>-0.35345911949999997</v>
      </c>
      <c r="P33">
        <v>0.8</v>
      </c>
      <c r="Q33">
        <v>5.27</v>
      </c>
      <c r="R33">
        <v>5.65</v>
      </c>
      <c r="S33">
        <v>7.04</v>
      </c>
      <c r="T33">
        <v>8.59</v>
      </c>
      <c r="U33">
        <v>12.89</v>
      </c>
      <c r="V33">
        <v>36.590000000000003</v>
      </c>
      <c r="W33">
        <v>44.16</v>
      </c>
      <c r="X33">
        <v>55.38</v>
      </c>
      <c r="Y33">
        <v>61.84</v>
      </c>
      <c r="Z33">
        <v>74.34</v>
      </c>
      <c r="AA33">
        <v>83.27</v>
      </c>
      <c r="AB33">
        <v>101.19</v>
      </c>
      <c r="AD33" s="2"/>
    </row>
    <row r="34" spans="13:30" ht="15.75" thickBot="1" x14ac:dyDescent="0.3">
      <c r="M34" s="1">
        <v>7</v>
      </c>
      <c r="N34">
        <v>-0.35345911949999997</v>
      </c>
      <c r="P34">
        <v>0.8</v>
      </c>
      <c r="Q34">
        <v>5.27</v>
      </c>
      <c r="R34">
        <v>5.65</v>
      </c>
      <c r="S34">
        <v>7.02</v>
      </c>
      <c r="T34">
        <v>8.59</v>
      </c>
      <c r="U34">
        <v>12.89</v>
      </c>
      <c r="V34">
        <v>36.61</v>
      </c>
      <c r="W34">
        <v>44.16</v>
      </c>
      <c r="X34">
        <v>55.38</v>
      </c>
      <c r="Y34">
        <v>61.85</v>
      </c>
      <c r="Z34">
        <v>74.36</v>
      </c>
      <c r="AA34">
        <v>83.31</v>
      </c>
      <c r="AB34">
        <v>101.19</v>
      </c>
      <c r="AD34" s="2"/>
    </row>
    <row r="35" spans="13:30" ht="15.75" thickBot="1" x14ac:dyDescent="0.3">
      <c r="M35" s="1">
        <v>8</v>
      </c>
      <c r="N35">
        <v>-0.35345911949999997</v>
      </c>
      <c r="P35">
        <v>0.8</v>
      </c>
      <c r="Q35">
        <v>5.27</v>
      </c>
      <c r="R35">
        <v>5.65</v>
      </c>
      <c r="S35">
        <v>7.02</v>
      </c>
      <c r="T35">
        <v>8.59</v>
      </c>
      <c r="U35">
        <v>12.89</v>
      </c>
      <c r="V35">
        <v>36.61</v>
      </c>
      <c r="W35">
        <v>44.16</v>
      </c>
      <c r="X35">
        <v>55.38</v>
      </c>
      <c r="Y35">
        <v>61.85</v>
      </c>
      <c r="Z35">
        <v>74.36</v>
      </c>
      <c r="AA35">
        <v>83.31</v>
      </c>
      <c r="AB35">
        <v>101.19</v>
      </c>
      <c r="AD35" s="2"/>
    </row>
    <row r="36" spans="13:30" ht="15.75" thickBot="1" x14ac:dyDescent="0.3">
      <c r="M36" s="1">
        <v>9</v>
      </c>
      <c r="N36">
        <v>-0.372327044</v>
      </c>
      <c r="P36">
        <v>0.8</v>
      </c>
      <c r="Q36">
        <v>5.27</v>
      </c>
      <c r="R36">
        <v>5.65</v>
      </c>
      <c r="S36">
        <v>7.02</v>
      </c>
      <c r="T36">
        <v>8.59</v>
      </c>
      <c r="U36">
        <v>12.91</v>
      </c>
      <c r="V36">
        <v>36.61</v>
      </c>
      <c r="W36">
        <v>44.17</v>
      </c>
      <c r="X36">
        <v>55.38</v>
      </c>
      <c r="Y36">
        <v>61.87</v>
      </c>
      <c r="Z36">
        <v>74.36</v>
      </c>
      <c r="AA36">
        <v>83.33</v>
      </c>
      <c r="AB36">
        <v>101.19</v>
      </c>
      <c r="AD36" s="2"/>
    </row>
    <row r="37" spans="13:30" ht="15.75" thickBot="1" x14ac:dyDescent="0.3">
      <c r="M37" s="1">
        <v>10</v>
      </c>
      <c r="N37">
        <v>-0.372327044</v>
      </c>
      <c r="P37">
        <v>0.78</v>
      </c>
      <c r="Q37">
        <v>5.27</v>
      </c>
      <c r="R37">
        <v>5.65</v>
      </c>
      <c r="S37">
        <v>7.02</v>
      </c>
      <c r="T37">
        <v>8.59</v>
      </c>
      <c r="U37">
        <v>12.91</v>
      </c>
      <c r="V37">
        <v>36.61</v>
      </c>
      <c r="W37">
        <v>44.17</v>
      </c>
      <c r="X37">
        <v>55.38</v>
      </c>
      <c r="Y37">
        <v>61.87</v>
      </c>
      <c r="Z37">
        <v>74.38</v>
      </c>
      <c r="AA37">
        <v>83.33</v>
      </c>
      <c r="AB37">
        <v>101.19</v>
      </c>
      <c r="AD37" s="2"/>
    </row>
    <row r="38" spans="13:30" ht="15.75" thickBot="1" x14ac:dyDescent="0.3">
      <c r="M38" s="1">
        <v>11</v>
      </c>
      <c r="N38">
        <v>-0.372327044</v>
      </c>
      <c r="P38">
        <v>0.78</v>
      </c>
      <c r="Q38">
        <v>5.27</v>
      </c>
      <c r="R38">
        <v>5.63</v>
      </c>
      <c r="S38">
        <v>7.02</v>
      </c>
      <c r="T38">
        <v>8.59</v>
      </c>
      <c r="U38">
        <v>12.91</v>
      </c>
      <c r="V38">
        <v>36.61</v>
      </c>
      <c r="W38">
        <v>44.17</v>
      </c>
      <c r="X38">
        <v>55.38</v>
      </c>
      <c r="Y38">
        <v>61.87</v>
      </c>
      <c r="Z38">
        <v>74.38</v>
      </c>
      <c r="AA38">
        <v>83.34</v>
      </c>
      <c r="AB38">
        <v>101.19</v>
      </c>
      <c r="AD38" s="2"/>
    </row>
    <row r="39" spans="13:30" ht="15.75" thickBot="1" x14ac:dyDescent="0.3">
      <c r="M39" s="1">
        <v>12</v>
      </c>
      <c r="N39">
        <v>-0.39119496860000003</v>
      </c>
      <c r="P39">
        <v>0.78</v>
      </c>
      <c r="Q39">
        <v>5.27</v>
      </c>
      <c r="R39">
        <v>5.63</v>
      </c>
      <c r="S39">
        <v>7.02</v>
      </c>
      <c r="T39">
        <v>8.59</v>
      </c>
      <c r="U39">
        <v>12.91</v>
      </c>
      <c r="V39">
        <v>36.61</v>
      </c>
      <c r="W39">
        <v>44.17</v>
      </c>
      <c r="X39">
        <v>55.36</v>
      </c>
      <c r="Y39">
        <v>61.87</v>
      </c>
      <c r="Z39">
        <v>74.38</v>
      </c>
      <c r="AA39">
        <v>83.34</v>
      </c>
      <c r="AB39">
        <v>101.19</v>
      </c>
      <c r="AD39" s="2"/>
    </row>
    <row r="40" spans="13:30" ht="15.75" thickBot="1" x14ac:dyDescent="0.3">
      <c r="M40" s="1">
        <v>13</v>
      </c>
      <c r="N40">
        <v>-0.39119496860000003</v>
      </c>
      <c r="P40">
        <v>0.78</v>
      </c>
      <c r="Q40">
        <v>5.25</v>
      </c>
      <c r="R40">
        <v>5.63</v>
      </c>
      <c r="S40">
        <v>7.02</v>
      </c>
      <c r="T40">
        <v>8.59</v>
      </c>
      <c r="U40">
        <v>12.91</v>
      </c>
      <c r="V40">
        <v>36.61</v>
      </c>
      <c r="W40">
        <v>44.17</v>
      </c>
      <c r="X40">
        <v>55.36</v>
      </c>
      <c r="Y40">
        <v>61.87</v>
      </c>
      <c r="Z40">
        <v>74.38</v>
      </c>
      <c r="AA40">
        <v>83.34</v>
      </c>
      <c r="AB40">
        <v>101.19</v>
      </c>
      <c r="AD40" s="2"/>
    </row>
    <row r="41" spans="13:30" ht="15.75" thickBot="1" x14ac:dyDescent="0.3">
      <c r="M41" s="1">
        <v>14</v>
      </c>
      <c r="N41">
        <v>-0.39119496860000003</v>
      </c>
      <c r="P41">
        <v>0.78</v>
      </c>
      <c r="Q41">
        <v>5.25</v>
      </c>
      <c r="R41">
        <v>5.63</v>
      </c>
      <c r="S41">
        <v>7.01</v>
      </c>
      <c r="T41">
        <v>8.59</v>
      </c>
      <c r="U41">
        <v>12.91</v>
      </c>
      <c r="V41">
        <v>36.61</v>
      </c>
      <c r="W41">
        <v>44.16</v>
      </c>
      <c r="X41">
        <v>55.36</v>
      </c>
      <c r="Y41">
        <v>61.87</v>
      </c>
      <c r="Z41">
        <v>74.36</v>
      </c>
      <c r="AA41">
        <v>83.34</v>
      </c>
      <c r="AB41">
        <v>101.17</v>
      </c>
      <c r="AD41" s="2"/>
    </row>
    <row r="42" spans="13:30" ht="15.75" thickBot="1" x14ac:dyDescent="0.3">
      <c r="M42" s="1">
        <v>15</v>
      </c>
      <c r="N42">
        <v>-0.39119496860000003</v>
      </c>
      <c r="P42">
        <v>0.78</v>
      </c>
      <c r="Q42">
        <v>5.25</v>
      </c>
      <c r="R42">
        <v>5.63</v>
      </c>
      <c r="S42">
        <v>7.01</v>
      </c>
      <c r="T42">
        <v>8.59</v>
      </c>
      <c r="U42">
        <v>12.91</v>
      </c>
      <c r="V42">
        <v>36.590000000000003</v>
      </c>
      <c r="W42">
        <v>44.16</v>
      </c>
      <c r="X42">
        <v>55.36</v>
      </c>
      <c r="Y42">
        <v>61.87</v>
      </c>
      <c r="Z42">
        <v>74.36</v>
      </c>
      <c r="AA42">
        <v>83.34</v>
      </c>
      <c r="AB42">
        <v>101.17</v>
      </c>
      <c r="AD42" s="2"/>
    </row>
    <row r="43" spans="13:30" ht="15.75" thickBot="1" x14ac:dyDescent="0.3">
      <c r="M43" s="1"/>
      <c r="AD43" s="2"/>
    </row>
    <row r="44" spans="13:30" ht="15.75" thickBot="1" x14ac:dyDescent="0.3">
      <c r="M44" s="1" t="s">
        <v>15</v>
      </c>
      <c r="N44">
        <v>-0.35849056600000001</v>
      </c>
      <c r="P44">
        <v>0.79</v>
      </c>
      <c r="Q44">
        <v>5.27</v>
      </c>
      <c r="R44">
        <v>5.64</v>
      </c>
      <c r="S44">
        <v>7.0279999999999996</v>
      </c>
      <c r="T44">
        <v>8.5860000000000003</v>
      </c>
      <c r="U44">
        <v>12.891</v>
      </c>
      <c r="V44">
        <v>36.582000000000001</v>
      </c>
      <c r="W44">
        <v>44.142000000000003</v>
      </c>
      <c r="X44">
        <v>55.347999999999999</v>
      </c>
      <c r="Y44">
        <v>61.831000000000003</v>
      </c>
      <c r="Z44">
        <v>74.344999999999999</v>
      </c>
      <c r="AA44">
        <v>83.27</v>
      </c>
      <c r="AB44">
        <v>101.167</v>
      </c>
      <c r="AD44" s="2"/>
    </row>
    <row r="45" spans="13:30" ht="15.75" thickBot="1" x14ac:dyDescent="0.3">
      <c r="M45" s="1" t="s">
        <v>16</v>
      </c>
      <c r="N45">
        <v>2.7124350509999999E-2</v>
      </c>
      <c r="P45">
        <v>9.5677840159999993E-3</v>
      </c>
      <c r="Q45">
        <v>1.3277953780000001E-2</v>
      </c>
      <c r="R45">
        <v>9.2066044619999992E-3</v>
      </c>
      <c r="S45">
        <v>1.2757045349999999E-2</v>
      </c>
      <c r="T45">
        <v>7.8120629360000004E-3</v>
      </c>
      <c r="U45">
        <v>2.307168465E-2</v>
      </c>
      <c r="V45">
        <v>4.384509449E-2</v>
      </c>
      <c r="W45">
        <v>4.4230045629999999E-2</v>
      </c>
      <c r="X45">
        <v>6.5825612340000006E-2</v>
      </c>
      <c r="Y45">
        <v>5.7140314239999997E-2</v>
      </c>
      <c r="Z45">
        <v>5.3366549520000001E-2</v>
      </c>
      <c r="AA45">
        <v>9.3382385279999994E-2</v>
      </c>
      <c r="AB45">
        <v>4.2669408620000002E-2</v>
      </c>
      <c r="AD45" s="2"/>
    </row>
    <row r="46" spans="13:30" ht="15.75" thickBot="1" x14ac:dyDescent="0.3">
      <c r="M46" s="1"/>
      <c r="N46" s="1" t="s">
        <v>24</v>
      </c>
      <c r="P46">
        <v>0.03</v>
      </c>
      <c r="Q46">
        <v>0.04</v>
      </c>
      <c r="R46">
        <v>0.03</v>
      </c>
      <c r="S46">
        <v>0.04</v>
      </c>
      <c r="T46">
        <v>0.02</v>
      </c>
      <c r="U46">
        <v>7.0000000000000007E-2</v>
      </c>
      <c r="V46">
        <v>0.13</v>
      </c>
      <c r="W46">
        <v>0.13</v>
      </c>
      <c r="X46">
        <v>0.2</v>
      </c>
      <c r="Y46">
        <v>0.17</v>
      </c>
      <c r="Z46">
        <v>0.16</v>
      </c>
      <c r="AA46">
        <v>0.28000000000000003</v>
      </c>
      <c r="AB46">
        <v>0.13</v>
      </c>
      <c r="AD46" s="2"/>
    </row>
    <row r="47" spans="13:30" ht="15.75" thickBot="1" x14ac:dyDescent="0.3">
      <c r="M47" s="1"/>
      <c r="N47" s="1" t="s">
        <v>26</v>
      </c>
      <c r="AD47" s="2"/>
    </row>
    <row r="48" spans="13:30" ht="15.75" thickBot="1" x14ac:dyDescent="0.3">
      <c r="M48" s="1" t="s">
        <v>25</v>
      </c>
      <c r="N48">
        <v>0.12</v>
      </c>
      <c r="AD48" s="2"/>
    </row>
    <row r="49" spans="13:30" ht="15.75" thickBot="1" x14ac:dyDescent="0.3">
      <c r="M49" s="1" t="s">
        <v>27</v>
      </c>
      <c r="N49">
        <v>0.38</v>
      </c>
      <c r="AD49" s="2"/>
    </row>
    <row r="50" spans="13:30" ht="15.75" thickBot="1" x14ac:dyDescent="0.3">
      <c r="M50" s="1"/>
      <c r="AD50" s="2"/>
    </row>
    <row r="51" spans="13:30" ht="15.75" thickBot="1" x14ac:dyDescent="0.3">
      <c r="M51" s="1" t="s">
        <v>49</v>
      </c>
      <c r="AD51" s="2"/>
    </row>
    <row r="52" spans="13:30" ht="15.75" thickBot="1" x14ac:dyDescent="0.3">
      <c r="M52" s="1"/>
      <c r="P52" s="1">
        <v>2</v>
      </c>
      <c r="Q52" s="1">
        <v>4</v>
      </c>
      <c r="R52" s="1">
        <v>6</v>
      </c>
      <c r="S52" s="1">
        <v>8</v>
      </c>
      <c r="T52" s="1">
        <v>10</v>
      </c>
      <c r="U52" s="1">
        <v>15</v>
      </c>
      <c r="V52" s="1">
        <v>35</v>
      </c>
      <c r="W52" s="1">
        <v>45</v>
      </c>
      <c r="X52" s="1">
        <v>55</v>
      </c>
      <c r="Y52" s="1">
        <v>65</v>
      </c>
      <c r="Z52" s="1">
        <v>75</v>
      </c>
      <c r="AA52" s="1">
        <v>85</v>
      </c>
      <c r="AB52" s="1">
        <v>100</v>
      </c>
      <c r="AD52" s="2"/>
    </row>
    <row r="53" spans="13:30" ht="15.75" thickBot="1" x14ac:dyDescent="0.3">
      <c r="M53" s="1"/>
      <c r="N53">
        <v>1</v>
      </c>
      <c r="P53">
        <v>-60.1</v>
      </c>
      <c r="Q53">
        <v>32.200000000000003</v>
      </c>
      <c r="R53">
        <v>-5.9</v>
      </c>
      <c r="S53">
        <v>-12.2</v>
      </c>
      <c r="T53">
        <v>-14.3</v>
      </c>
      <c r="U53">
        <v>-14.3</v>
      </c>
      <c r="V53">
        <v>4.2</v>
      </c>
      <c r="W53">
        <v>-2.2000000000000002</v>
      </c>
      <c r="X53">
        <v>0.2</v>
      </c>
      <c r="Y53">
        <v>-5.0999999999999996</v>
      </c>
      <c r="Z53">
        <v>-1.1000000000000001</v>
      </c>
      <c r="AA53">
        <v>-2.2999999999999998</v>
      </c>
      <c r="AB53">
        <v>1.1000000000000001</v>
      </c>
      <c r="AD53" s="2"/>
    </row>
    <row r="54" spans="13:30" ht="15.75" thickBot="1" x14ac:dyDescent="0.3">
      <c r="M54" s="1"/>
      <c r="N54">
        <v>2</v>
      </c>
      <c r="P54">
        <v>-60.1</v>
      </c>
      <c r="Q54">
        <v>32.200000000000003</v>
      </c>
      <c r="R54">
        <v>-5.9</v>
      </c>
      <c r="S54">
        <v>-12</v>
      </c>
      <c r="T54">
        <v>-14.3</v>
      </c>
      <c r="U54">
        <v>-14.3</v>
      </c>
      <c r="V54">
        <v>4.3</v>
      </c>
      <c r="W54">
        <v>-2.1</v>
      </c>
      <c r="X54">
        <v>0.5</v>
      </c>
      <c r="Y54">
        <v>-5</v>
      </c>
      <c r="Z54">
        <v>-0.9</v>
      </c>
      <c r="AA54">
        <v>-2.2000000000000002</v>
      </c>
      <c r="AB54">
        <v>1.1000000000000001</v>
      </c>
      <c r="AD54" s="2"/>
    </row>
    <row r="55" spans="13:30" ht="15.75" thickBot="1" x14ac:dyDescent="0.3">
      <c r="M55" s="1"/>
      <c r="N55">
        <v>3</v>
      </c>
      <c r="P55">
        <v>-60.1</v>
      </c>
      <c r="Q55">
        <v>32.200000000000003</v>
      </c>
      <c r="R55">
        <v>-5.9</v>
      </c>
      <c r="S55">
        <v>-12</v>
      </c>
      <c r="T55">
        <v>-14.3</v>
      </c>
      <c r="U55">
        <v>-14.3</v>
      </c>
      <c r="V55">
        <v>4.4000000000000004</v>
      </c>
      <c r="W55">
        <v>-2</v>
      </c>
      <c r="X55">
        <v>0.6</v>
      </c>
      <c r="Y55">
        <v>-5</v>
      </c>
      <c r="Z55">
        <v>-0.9</v>
      </c>
      <c r="AA55">
        <v>-2.1</v>
      </c>
      <c r="AB55">
        <v>1.1000000000000001</v>
      </c>
      <c r="AD55" s="2"/>
    </row>
    <row r="56" spans="13:30" ht="15.75" thickBot="1" x14ac:dyDescent="0.3">
      <c r="M56" s="1"/>
      <c r="N56">
        <v>4</v>
      </c>
      <c r="P56">
        <v>-60.1</v>
      </c>
      <c r="Q56">
        <v>32.200000000000003</v>
      </c>
      <c r="R56">
        <v>-5.9</v>
      </c>
      <c r="S56">
        <v>-12</v>
      </c>
      <c r="T56">
        <v>-14.1</v>
      </c>
      <c r="U56">
        <v>-14.2</v>
      </c>
      <c r="V56">
        <v>4.5</v>
      </c>
      <c r="W56">
        <v>-1.9</v>
      </c>
      <c r="X56">
        <v>0.7</v>
      </c>
      <c r="Y56">
        <v>-4.9000000000000004</v>
      </c>
      <c r="Z56">
        <v>-0.9</v>
      </c>
      <c r="AA56">
        <v>-2.1</v>
      </c>
      <c r="AB56">
        <v>1.2</v>
      </c>
      <c r="AD56" s="2"/>
    </row>
    <row r="57" spans="13:30" ht="15.75" thickBot="1" x14ac:dyDescent="0.3">
      <c r="M57" s="1"/>
      <c r="N57">
        <v>5</v>
      </c>
      <c r="P57">
        <v>-60.1</v>
      </c>
      <c r="Q57">
        <v>31.7</v>
      </c>
      <c r="R57">
        <v>-5.9</v>
      </c>
      <c r="S57">
        <v>-12</v>
      </c>
      <c r="T57">
        <v>-14.1</v>
      </c>
      <c r="U57">
        <v>-14.2</v>
      </c>
      <c r="V57">
        <v>4.5</v>
      </c>
      <c r="W57">
        <v>-1.9</v>
      </c>
      <c r="X57">
        <v>0.7</v>
      </c>
      <c r="Y57">
        <v>-4.9000000000000004</v>
      </c>
      <c r="Z57">
        <v>-0.9</v>
      </c>
      <c r="AA57">
        <v>-2.1</v>
      </c>
      <c r="AB57">
        <v>1.2</v>
      </c>
      <c r="AD57" s="2"/>
    </row>
    <row r="58" spans="13:30" ht="15.75" thickBot="1" x14ac:dyDescent="0.3">
      <c r="M58" s="1"/>
      <c r="N58">
        <v>6</v>
      </c>
      <c r="P58">
        <v>-60.1</v>
      </c>
      <c r="Q58">
        <v>31.7</v>
      </c>
      <c r="R58">
        <v>-5.9</v>
      </c>
      <c r="S58">
        <v>-12</v>
      </c>
      <c r="T58">
        <v>-14.1</v>
      </c>
      <c r="U58">
        <v>-14.1</v>
      </c>
      <c r="V58">
        <v>4.5</v>
      </c>
      <c r="W58">
        <v>-1.9</v>
      </c>
      <c r="X58">
        <v>0.7</v>
      </c>
      <c r="Y58">
        <v>-4.9000000000000004</v>
      </c>
      <c r="Z58">
        <v>-0.9</v>
      </c>
      <c r="AA58">
        <v>-2</v>
      </c>
      <c r="AB58">
        <v>1.2</v>
      </c>
      <c r="AD58" s="2"/>
    </row>
    <row r="59" spans="13:30" ht="15.75" thickBot="1" x14ac:dyDescent="0.3">
      <c r="M59" s="1"/>
      <c r="N59">
        <v>7</v>
      </c>
      <c r="P59">
        <v>-60.1</v>
      </c>
      <c r="Q59">
        <v>31.7</v>
      </c>
      <c r="R59">
        <v>-5.9</v>
      </c>
      <c r="S59">
        <v>-12.2</v>
      </c>
      <c r="T59">
        <v>-14.1</v>
      </c>
      <c r="U59">
        <v>-14.1</v>
      </c>
      <c r="V59">
        <v>4.5999999999999996</v>
      </c>
      <c r="W59">
        <v>-1.9</v>
      </c>
      <c r="X59">
        <v>0.7</v>
      </c>
      <c r="Y59">
        <v>-4.8</v>
      </c>
      <c r="Z59">
        <v>-0.8</v>
      </c>
      <c r="AA59">
        <v>-2</v>
      </c>
      <c r="AB59">
        <v>1.2</v>
      </c>
      <c r="AD59" s="2"/>
    </row>
    <row r="60" spans="13:30" ht="15.75" thickBot="1" x14ac:dyDescent="0.3">
      <c r="M60" s="1"/>
      <c r="N60">
        <v>8</v>
      </c>
      <c r="P60">
        <v>-60.1</v>
      </c>
      <c r="Q60">
        <v>31.7</v>
      </c>
      <c r="R60">
        <v>-5.9</v>
      </c>
      <c r="S60">
        <v>-12.2</v>
      </c>
      <c r="T60">
        <v>-14.1</v>
      </c>
      <c r="U60">
        <v>-14.1</v>
      </c>
      <c r="V60">
        <v>4.5999999999999996</v>
      </c>
      <c r="W60">
        <v>-1.9</v>
      </c>
      <c r="X60">
        <v>0.7</v>
      </c>
      <c r="Y60">
        <v>-4.8</v>
      </c>
      <c r="Z60">
        <v>-0.8</v>
      </c>
      <c r="AA60">
        <v>-2</v>
      </c>
      <c r="AB60">
        <v>1.2</v>
      </c>
      <c r="AD60" s="2"/>
    </row>
    <row r="61" spans="13:30" ht="15.75" thickBot="1" x14ac:dyDescent="0.3">
      <c r="M61" s="1"/>
      <c r="N61">
        <v>9</v>
      </c>
      <c r="P61">
        <v>-60.1</v>
      </c>
      <c r="Q61">
        <v>31.7</v>
      </c>
      <c r="R61">
        <v>-5.9</v>
      </c>
      <c r="S61">
        <v>-12.2</v>
      </c>
      <c r="T61">
        <v>-14.1</v>
      </c>
      <c r="U61">
        <v>-13.9</v>
      </c>
      <c r="V61">
        <v>4.5999999999999996</v>
      </c>
      <c r="W61">
        <v>-1.8</v>
      </c>
      <c r="X61">
        <v>0.7</v>
      </c>
      <c r="Y61">
        <v>-4.8</v>
      </c>
      <c r="Z61">
        <v>-0.8</v>
      </c>
      <c r="AA61">
        <v>-2</v>
      </c>
      <c r="AB61">
        <v>1.2</v>
      </c>
      <c r="AD61" s="2"/>
    </row>
    <row r="62" spans="13:30" ht="15.75" thickBot="1" x14ac:dyDescent="0.3">
      <c r="M62" s="1"/>
      <c r="N62">
        <v>10</v>
      </c>
      <c r="P62">
        <v>-61.1</v>
      </c>
      <c r="Q62">
        <v>31.7</v>
      </c>
      <c r="R62">
        <v>-5.9</v>
      </c>
      <c r="S62">
        <v>-12.2</v>
      </c>
      <c r="T62">
        <v>-14.1</v>
      </c>
      <c r="U62">
        <v>-13.9</v>
      </c>
      <c r="V62">
        <v>4.5999999999999996</v>
      </c>
      <c r="W62">
        <v>-1.8</v>
      </c>
      <c r="X62">
        <v>0.7</v>
      </c>
      <c r="Y62">
        <v>-4.8</v>
      </c>
      <c r="Z62">
        <v>-0.8</v>
      </c>
      <c r="AA62">
        <v>-2</v>
      </c>
      <c r="AB62">
        <v>1.2</v>
      </c>
      <c r="AD62" s="2"/>
    </row>
    <row r="63" spans="13:30" ht="15.75" thickBot="1" x14ac:dyDescent="0.3">
      <c r="M63" s="1"/>
      <c r="N63">
        <v>11</v>
      </c>
      <c r="P63">
        <v>-61.1</v>
      </c>
      <c r="Q63">
        <v>31.7</v>
      </c>
      <c r="R63">
        <v>-6.2</v>
      </c>
      <c r="S63">
        <v>-12.2</v>
      </c>
      <c r="T63">
        <v>-14.1</v>
      </c>
      <c r="U63">
        <v>-13.9</v>
      </c>
      <c r="V63">
        <v>4.5999999999999996</v>
      </c>
      <c r="W63">
        <v>-1.8</v>
      </c>
      <c r="X63">
        <v>0.7</v>
      </c>
      <c r="Y63">
        <v>-4.8</v>
      </c>
      <c r="Z63">
        <v>-0.8</v>
      </c>
      <c r="AA63">
        <v>-1.9</v>
      </c>
      <c r="AB63">
        <v>1.2</v>
      </c>
      <c r="AD63" s="2"/>
    </row>
    <row r="64" spans="13:30" ht="15.75" thickBot="1" x14ac:dyDescent="0.3">
      <c r="M64" s="1"/>
      <c r="N64">
        <v>12</v>
      </c>
      <c r="P64">
        <v>-61.1</v>
      </c>
      <c r="Q64">
        <v>31.7</v>
      </c>
      <c r="R64">
        <v>-6.2</v>
      </c>
      <c r="S64">
        <v>-12.2</v>
      </c>
      <c r="T64">
        <v>-14.1</v>
      </c>
      <c r="U64">
        <v>-13.9</v>
      </c>
      <c r="V64">
        <v>4.5999999999999996</v>
      </c>
      <c r="W64">
        <v>-1.8</v>
      </c>
      <c r="X64">
        <v>0.7</v>
      </c>
      <c r="Y64">
        <v>-4.8</v>
      </c>
      <c r="Z64">
        <v>-0.8</v>
      </c>
      <c r="AA64">
        <v>-1.9</v>
      </c>
      <c r="AB64">
        <v>1.2</v>
      </c>
      <c r="AD64" s="2"/>
    </row>
    <row r="65" spans="13:30" ht="15.75" thickBot="1" x14ac:dyDescent="0.3">
      <c r="M65" s="1"/>
      <c r="N65">
        <v>13</v>
      </c>
      <c r="P65">
        <v>-61.1</v>
      </c>
      <c r="Q65">
        <v>31.3</v>
      </c>
      <c r="R65">
        <v>-6.2</v>
      </c>
      <c r="S65">
        <v>-12.2</v>
      </c>
      <c r="T65">
        <v>-14.1</v>
      </c>
      <c r="U65">
        <v>-13.9</v>
      </c>
      <c r="V65">
        <v>4.5999999999999996</v>
      </c>
      <c r="W65">
        <v>-1.8</v>
      </c>
      <c r="X65">
        <v>0.7</v>
      </c>
      <c r="Y65">
        <v>-4.8</v>
      </c>
      <c r="Z65">
        <v>-0.8</v>
      </c>
      <c r="AA65">
        <v>-1.9</v>
      </c>
      <c r="AB65">
        <v>1.2</v>
      </c>
      <c r="AD65" s="2"/>
    </row>
    <row r="66" spans="13:30" ht="15.75" thickBot="1" x14ac:dyDescent="0.3">
      <c r="M66" s="1"/>
      <c r="N66">
        <v>14</v>
      </c>
      <c r="P66">
        <v>-61.1</v>
      </c>
      <c r="Q66">
        <v>31.3</v>
      </c>
      <c r="R66">
        <v>-6.2</v>
      </c>
      <c r="S66">
        <v>-12.4</v>
      </c>
      <c r="T66">
        <v>-14.1</v>
      </c>
      <c r="U66">
        <v>-13.9</v>
      </c>
      <c r="V66">
        <v>4.5999999999999996</v>
      </c>
      <c r="W66">
        <v>-1.9</v>
      </c>
      <c r="X66">
        <v>0.7</v>
      </c>
      <c r="Y66">
        <v>-4.8</v>
      </c>
      <c r="Z66">
        <v>-0.8</v>
      </c>
      <c r="AA66">
        <v>-1.9</v>
      </c>
      <c r="AB66">
        <v>1.2</v>
      </c>
      <c r="AD66" s="2"/>
    </row>
    <row r="67" spans="13:30" ht="15.75" thickBot="1" x14ac:dyDescent="0.3">
      <c r="M67" s="1"/>
      <c r="N67">
        <v>15</v>
      </c>
      <c r="P67">
        <v>-61.1</v>
      </c>
      <c r="Q67">
        <v>31.3</v>
      </c>
      <c r="R67">
        <v>-6.2</v>
      </c>
      <c r="S67">
        <v>-12.4</v>
      </c>
      <c r="T67">
        <v>-14.1</v>
      </c>
      <c r="U67">
        <v>-13.9</v>
      </c>
      <c r="V67">
        <v>4.5</v>
      </c>
      <c r="W67">
        <v>-1.9</v>
      </c>
      <c r="X67">
        <v>0.7</v>
      </c>
      <c r="Y67">
        <v>-4.8</v>
      </c>
      <c r="Z67">
        <v>-0.8</v>
      </c>
      <c r="AA67">
        <v>-1.9</v>
      </c>
      <c r="AB67">
        <v>1.2</v>
      </c>
      <c r="AD67" s="2"/>
    </row>
    <row r="68" spans="13:30" ht="15.75" thickBot="1" x14ac:dyDescent="0.3">
      <c r="M68" s="1"/>
      <c r="AD68" s="2"/>
    </row>
    <row r="69" spans="13:30" ht="15.75" thickBot="1" x14ac:dyDescent="0.3">
      <c r="M69" s="1"/>
      <c r="N69" t="s">
        <v>15</v>
      </c>
      <c r="P69">
        <v>-60.5</v>
      </c>
      <c r="Q69">
        <v>31.8</v>
      </c>
      <c r="R69">
        <v>-6</v>
      </c>
      <c r="S69">
        <v>-12.2</v>
      </c>
      <c r="T69">
        <v>-14.1</v>
      </c>
      <c r="U69">
        <v>-14.1</v>
      </c>
      <c r="V69">
        <v>4.5</v>
      </c>
      <c r="W69">
        <v>-1.9</v>
      </c>
      <c r="X69">
        <v>0.6</v>
      </c>
      <c r="Y69">
        <v>-4.9000000000000004</v>
      </c>
      <c r="Z69">
        <v>-0.9</v>
      </c>
      <c r="AA69">
        <v>-2</v>
      </c>
      <c r="AB69">
        <v>1.2</v>
      </c>
      <c r="AD69" s="2"/>
    </row>
    <row r="70" spans="13:30" ht="15.75" thickBot="1" x14ac:dyDescent="0.3">
      <c r="M70" s="1"/>
      <c r="AD70" s="2"/>
    </row>
    <row r="71" spans="13:30" ht="15.75" thickBot="1" x14ac:dyDescent="0.3">
      <c r="M71" s="1"/>
      <c r="AD71" s="2"/>
    </row>
    <row r="72" spans="13:30" ht="15.75" thickBot="1" x14ac:dyDescent="0.3">
      <c r="M72" s="1"/>
      <c r="AD72" s="2"/>
    </row>
    <row r="73" spans="13:30" ht="15.75" thickBot="1" x14ac:dyDescent="0.3">
      <c r="M73" s="1"/>
      <c r="AD73" s="2"/>
    </row>
    <row r="74" spans="13:30" ht="15.75" thickBot="1" x14ac:dyDescent="0.3">
      <c r="M74" s="1"/>
      <c r="AD74" s="2"/>
    </row>
    <row r="75" spans="13:30" ht="15.75" thickBot="1" x14ac:dyDescent="0.3">
      <c r="M75" s="1" t="s">
        <v>27</v>
      </c>
      <c r="N75" s="1" t="s">
        <v>25</v>
      </c>
      <c r="P75" s="1" t="s">
        <v>51</v>
      </c>
      <c r="Q75" s="1" t="s">
        <v>52</v>
      </c>
      <c r="R75" s="1" t="s">
        <v>53</v>
      </c>
      <c r="S75" s="1" t="s">
        <v>54</v>
      </c>
      <c r="T75" s="1" t="s">
        <v>55</v>
      </c>
      <c r="U75" s="1" t="s">
        <v>56</v>
      </c>
      <c r="V75" s="1" t="s">
        <v>57</v>
      </c>
      <c r="AD75" s="2"/>
    </row>
    <row r="76" spans="13:30" ht="15.75" thickBot="1" x14ac:dyDescent="0.3">
      <c r="M76" s="1" t="s">
        <v>58</v>
      </c>
      <c r="N76" t="s">
        <v>58</v>
      </c>
      <c r="P76">
        <v>2</v>
      </c>
      <c r="Q76">
        <v>-60.5</v>
      </c>
      <c r="R76">
        <v>8.9999999999999993E-3</v>
      </c>
      <c r="S76">
        <v>1.21</v>
      </c>
      <c r="T76">
        <v>2E-3</v>
      </c>
      <c r="U76">
        <v>0.3</v>
      </c>
      <c r="V76">
        <v>17.899999999999999</v>
      </c>
      <c r="AD76" s="2"/>
    </row>
    <row r="77" spans="13:30" ht="15.75" thickBot="1" x14ac:dyDescent="0.3">
      <c r="M77" s="1"/>
      <c r="P77">
        <v>4</v>
      </c>
      <c r="Q77">
        <v>31.8</v>
      </c>
      <c r="R77">
        <v>1.2999999999999999E-2</v>
      </c>
      <c r="S77">
        <v>0.25</v>
      </c>
      <c r="T77">
        <v>3.0000000000000001E-3</v>
      </c>
      <c r="U77">
        <v>0.06</v>
      </c>
      <c r="V77">
        <v>2.2999999999999998</v>
      </c>
      <c r="AD77" s="2"/>
    </row>
    <row r="78" spans="13:30" ht="15.75" thickBot="1" x14ac:dyDescent="0.3">
      <c r="M78" s="1"/>
      <c r="P78">
        <v>6</v>
      </c>
      <c r="Q78">
        <v>-6</v>
      </c>
      <c r="R78">
        <v>8.9999999999999993E-3</v>
      </c>
      <c r="S78">
        <v>0.16</v>
      </c>
      <c r="T78">
        <v>2E-3</v>
      </c>
      <c r="U78">
        <v>0.04</v>
      </c>
      <c r="V78">
        <v>7.2</v>
      </c>
      <c r="AD78" s="2"/>
    </row>
    <row r="79" spans="13:30" ht="15.75" thickBot="1" x14ac:dyDescent="0.3">
      <c r="M79" s="1"/>
      <c r="P79">
        <v>8</v>
      </c>
      <c r="Q79">
        <v>-12.2</v>
      </c>
      <c r="R79">
        <v>1.2E-2</v>
      </c>
      <c r="S79">
        <v>0.18</v>
      </c>
      <c r="T79">
        <v>3.0000000000000001E-3</v>
      </c>
      <c r="U79">
        <v>0.05</v>
      </c>
      <c r="V79">
        <v>6.3</v>
      </c>
      <c r="AD79" s="2"/>
    </row>
    <row r="80" spans="13:30" ht="15.75" thickBot="1" x14ac:dyDescent="0.3">
      <c r="M80" s="1"/>
      <c r="P80">
        <v>10</v>
      </c>
      <c r="Q80">
        <v>-14.1</v>
      </c>
      <c r="R80">
        <v>8.0000000000000002E-3</v>
      </c>
      <c r="S80">
        <v>0.09</v>
      </c>
      <c r="T80">
        <v>2E-3</v>
      </c>
      <c r="U80">
        <v>0.02</v>
      </c>
      <c r="V80">
        <v>10.5</v>
      </c>
      <c r="AD80" s="2"/>
    </row>
    <row r="81" spans="13:30" ht="15.75" thickBot="1" x14ac:dyDescent="0.3">
      <c r="M81" s="1"/>
      <c r="P81">
        <v>15</v>
      </c>
      <c r="Q81">
        <v>-14.1</v>
      </c>
      <c r="R81">
        <v>2.1999999999999999E-2</v>
      </c>
      <c r="S81">
        <v>0.18</v>
      </c>
      <c r="T81">
        <v>6.0000000000000001E-3</v>
      </c>
      <c r="U81">
        <v>0.04</v>
      </c>
      <c r="V81">
        <v>5.5</v>
      </c>
      <c r="AD81" s="2"/>
    </row>
    <row r="82" spans="13:30" ht="15.75" thickBot="1" x14ac:dyDescent="0.3">
      <c r="M82" s="1"/>
      <c r="P82">
        <v>35</v>
      </c>
      <c r="Q82">
        <v>-4.5</v>
      </c>
      <c r="R82">
        <v>4.2000000000000003E-2</v>
      </c>
      <c r="S82">
        <v>0.12</v>
      </c>
      <c r="T82">
        <v>1.0999999999999999E-2</v>
      </c>
      <c r="U82">
        <v>0.03</v>
      </c>
      <c r="V82">
        <v>9.3000000000000007</v>
      </c>
      <c r="AD82" s="2"/>
    </row>
    <row r="83" spans="13:30" ht="15.75" thickBot="1" x14ac:dyDescent="0.3">
      <c r="M83" s="1"/>
      <c r="P83">
        <v>45</v>
      </c>
      <c r="Q83">
        <v>-1.9</v>
      </c>
      <c r="R83">
        <v>4.2999999999999997E-2</v>
      </c>
      <c r="S83">
        <v>0.1</v>
      </c>
      <c r="T83">
        <v>1.0999999999999999E-2</v>
      </c>
      <c r="U83">
        <v>0.02</v>
      </c>
      <c r="V83">
        <v>2.1</v>
      </c>
      <c r="AD83" s="2"/>
    </row>
    <row r="84" spans="13:30" ht="15.75" thickBot="1" x14ac:dyDescent="0.3">
      <c r="M84" s="1"/>
      <c r="P84">
        <v>55</v>
      </c>
      <c r="Q84">
        <v>0.6</v>
      </c>
      <c r="R84">
        <v>6.4000000000000001E-2</v>
      </c>
      <c r="S84">
        <v>0.12</v>
      </c>
      <c r="T84">
        <v>1.6E-2</v>
      </c>
      <c r="U84">
        <v>0.03</v>
      </c>
      <c r="V84">
        <v>3.5</v>
      </c>
      <c r="AD84" s="2"/>
    </row>
    <row r="85" spans="13:30" ht="15.75" thickBot="1" x14ac:dyDescent="0.3">
      <c r="M85" s="1"/>
      <c r="P85">
        <v>65</v>
      </c>
      <c r="Q85">
        <v>-4.9000000000000004</v>
      </c>
      <c r="R85">
        <v>5.5E-2</v>
      </c>
      <c r="S85">
        <v>0.09</v>
      </c>
      <c r="T85">
        <v>1.4E-2</v>
      </c>
      <c r="U85">
        <v>0.02</v>
      </c>
      <c r="V85">
        <v>2.5</v>
      </c>
      <c r="AD85" s="2"/>
    </row>
    <row r="86" spans="13:30" ht="15.75" thickBot="1" x14ac:dyDescent="0.3">
      <c r="M86" s="1"/>
      <c r="P86">
        <v>75</v>
      </c>
      <c r="Q86">
        <v>-0.9</v>
      </c>
      <c r="R86">
        <v>5.1999999999999998E-2</v>
      </c>
      <c r="S86">
        <v>7.0000000000000007E-2</v>
      </c>
      <c r="T86">
        <v>1.2999999999999999E-2</v>
      </c>
      <c r="U86">
        <v>0.02</v>
      </c>
      <c r="V86">
        <v>2.5</v>
      </c>
      <c r="AD86" s="2"/>
    </row>
    <row r="87" spans="13:30" ht="15.75" thickBot="1" x14ac:dyDescent="0.3">
      <c r="M87" s="1"/>
      <c r="P87">
        <v>85</v>
      </c>
      <c r="Q87">
        <v>-2</v>
      </c>
      <c r="R87">
        <v>0.09</v>
      </c>
      <c r="S87">
        <v>0.11</v>
      </c>
      <c r="T87">
        <v>2.3E-2</v>
      </c>
      <c r="U87">
        <v>0.03</v>
      </c>
      <c r="V87">
        <v>2.6</v>
      </c>
      <c r="AD87" s="2"/>
    </row>
    <row r="88" spans="13:30" ht="15.75" thickBot="1" x14ac:dyDescent="0.3">
      <c r="M88" s="1"/>
      <c r="P88">
        <v>100</v>
      </c>
      <c r="Q88">
        <v>1.2</v>
      </c>
      <c r="R88">
        <v>4.1000000000000002E-2</v>
      </c>
      <c r="S88">
        <v>0.04</v>
      </c>
      <c r="T88">
        <v>1.0999999999999999E-2</v>
      </c>
      <c r="U88">
        <v>0.01</v>
      </c>
      <c r="V88">
        <v>1.6</v>
      </c>
      <c r="AD88" s="2"/>
    </row>
    <row r="89" spans="13:30" ht="15.75" thickBot="1" x14ac:dyDescent="0.3">
      <c r="M89" s="1"/>
      <c r="AD89" s="2"/>
    </row>
  </sheetData>
  <mergeCells count="1">
    <mergeCell ref="B2:G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1442B-D698-4CC0-B91A-220A735232C2}">
  <dimension ref="A1:E87"/>
  <sheetViews>
    <sheetView workbookViewId="0">
      <selection activeCell="J11" sqref="J11"/>
    </sheetView>
  </sheetViews>
  <sheetFormatPr defaultRowHeight="15" x14ac:dyDescent="0.25"/>
  <cols>
    <col min="2" max="2" width="9.5703125" bestFit="1" customWidth="1"/>
    <col min="5" max="5" width="19.42578125" bestFit="1" customWidth="1"/>
  </cols>
  <sheetData>
    <row r="1" spans="1:5" x14ac:dyDescent="0.25">
      <c r="A1" t="s">
        <v>59</v>
      </c>
      <c r="B1" t="s">
        <v>60</v>
      </c>
      <c r="D1" t="s">
        <v>61</v>
      </c>
      <c r="E1" t="s">
        <v>62</v>
      </c>
    </row>
    <row r="2" spans="1:5" x14ac:dyDescent="0.25">
      <c r="A2">
        <v>0.2493294626</v>
      </c>
      <c r="B2">
        <v>3.7</v>
      </c>
      <c r="C2" t="s">
        <v>63</v>
      </c>
      <c r="D2" t="s">
        <v>64</v>
      </c>
      <c r="E2" t="s">
        <v>65</v>
      </c>
    </row>
    <row r="3" spans="1:5" x14ac:dyDescent="0.25">
      <c r="A3">
        <v>9.9845953289999997E-2</v>
      </c>
      <c r="B3">
        <v>3.2</v>
      </c>
      <c r="C3" t="s">
        <v>66</v>
      </c>
      <c r="D3" t="s">
        <v>64</v>
      </c>
      <c r="E3" t="s">
        <v>67</v>
      </c>
    </row>
    <row r="4" spans="1:5" x14ac:dyDescent="0.25">
      <c r="A4">
        <v>0.21930876369999999</v>
      </c>
      <c r="B4">
        <v>4.7</v>
      </c>
      <c r="D4" t="s">
        <v>64</v>
      </c>
      <c r="E4" t="s">
        <v>68</v>
      </c>
    </row>
    <row r="5" spans="1:5" x14ac:dyDescent="0.25">
      <c r="A5">
        <v>0.13886286319999999</v>
      </c>
      <c r="B5">
        <v>2.2000000000000002</v>
      </c>
      <c r="D5" t="s">
        <v>64</v>
      </c>
      <c r="E5" t="s">
        <v>69</v>
      </c>
    </row>
    <row r="6" spans="1:5" x14ac:dyDescent="0.25">
      <c r="A6">
        <v>0.14547186349999999</v>
      </c>
      <c r="B6">
        <v>3.2</v>
      </c>
      <c r="D6" t="s">
        <v>70</v>
      </c>
      <c r="E6" t="s">
        <v>65</v>
      </c>
    </row>
    <row r="7" spans="1:5" x14ac:dyDescent="0.25">
      <c r="A7">
        <v>9.027332817E-2</v>
      </c>
      <c r="B7">
        <v>2.2999999999999998</v>
      </c>
      <c r="D7" t="s">
        <v>70</v>
      </c>
      <c r="E7" t="s">
        <v>67</v>
      </c>
    </row>
    <row r="8" spans="1:5" x14ac:dyDescent="0.25">
      <c r="A8">
        <v>0.16170582920000001</v>
      </c>
      <c r="B8">
        <v>2.8</v>
      </c>
      <c r="D8" t="s">
        <v>70</v>
      </c>
      <c r="E8" t="s">
        <v>68</v>
      </c>
    </row>
    <row r="9" spans="1:5" x14ac:dyDescent="0.25">
      <c r="A9">
        <v>0.22871779649999999</v>
      </c>
      <c r="B9">
        <v>2.4</v>
      </c>
      <c r="D9" t="s">
        <v>70</v>
      </c>
      <c r="E9" t="s">
        <v>69</v>
      </c>
    </row>
    <row r="10" spans="1:5" x14ac:dyDescent="0.25">
      <c r="A10">
        <v>0.78170105909999998</v>
      </c>
      <c r="B10">
        <v>21.5</v>
      </c>
      <c r="D10" t="s">
        <v>71</v>
      </c>
      <c r="E10" t="s">
        <v>65</v>
      </c>
    </row>
    <row r="11" spans="1:5" x14ac:dyDescent="0.25">
      <c r="A11">
        <v>0.62026617019999997</v>
      </c>
      <c r="B11">
        <v>23.599999999999998</v>
      </c>
      <c r="D11" t="s">
        <v>71</v>
      </c>
      <c r="E11" t="s">
        <v>67</v>
      </c>
    </row>
    <row r="12" spans="1:5" x14ac:dyDescent="0.25">
      <c r="A12">
        <v>0.15488481609999999</v>
      </c>
      <c r="B12">
        <v>1.9</v>
      </c>
      <c r="D12" t="s">
        <v>71</v>
      </c>
      <c r="E12" t="s">
        <v>68</v>
      </c>
    </row>
    <row r="13" spans="1:5" x14ac:dyDescent="0.25">
      <c r="A13">
        <v>0.27681809750000003</v>
      </c>
      <c r="B13">
        <v>5.5</v>
      </c>
      <c r="D13" t="s">
        <v>71</v>
      </c>
      <c r="E13" t="s">
        <v>69</v>
      </c>
    </row>
    <row r="14" spans="1:5" x14ac:dyDescent="0.25">
      <c r="A14">
        <v>0.74614977829999996</v>
      </c>
      <c r="B14">
        <v>21.7</v>
      </c>
      <c r="D14" t="s">
        <v>72</v>
      </c>
      <c r="E14" t="s">
        <v>65</v>
      </c>
    </row>
    <row r="15" spans="1:5" x14ac:dyDescent="0.25">
      <c r="A15">
        <v>0.51040208340000004</v>
      </c>
      <c r="B15">
        <v>14.1</v>
      </c>
      <c r="D15" t="s">
        <v>72</v>
      </c>
      <c r="E15" t="s">
        <v>67</v>
      </c>
    </row>
    <row r="16" spans="1:5" x14ac:dyDescent="0.25">
      <c r="A16">
        <v>0.2126812488</v>
      </c>
      <c r="B16">
        <v>2</v>
      </c>
      <c r="D16" t="s">
        <v>72</v>
      </c>
      <c r="E16" t="s">
        <v>68</v>
      </c>
    </row>
    <row r="17" spans="1:5" x14ac:dyDescent="0.25">
      <c r="A17">
        <v>0.2025188356</v>
      </c>
      <c r="B17">
        <v>9</v>
      </c>
      <c r="D17" t="s">
        <v>72</v>
      </c>
      <c r="E17" t="s">
        <v>69</v>
      </c>
    </row>
    <row r="18" spans="1:5" x14ac:dyDescent="0.25">
      <c r="A18">
        <v>3.1475203559999998</v>
      </c>
      <c r="B18">
        <v>89</v>
      </c>
      <c r="D18" t="s">
        <v>73</v>
      </c>
      <c r="E18" t="s">
        <v>65</v>
      </c>
    </row>
    <row r="19" spans="1:5" x14ac:dyDescent="0.25">
      <c r="A19">
        <v>0.99140291680000003</v>
      </c>
      <c r="B19">
        <v>34.700000000000003</v>
      </c>
      <c r="D19" t="s">
        <v>73</v>
      </c>
      <c r="E19" t="s">
        <v>67</v>
      </c>
    </row>
    <row r="20" spans="1:5" x14ac:dyDescent="0.25">
      <c r="A20">
        <v>4.5653387929999997E-2</v>
      </c>
      <c r="B20">
        <v>2.8</v>
      </c>
      <c r="D20" t="s">
        <v>73</v>
      </c>
      <c r="E20" t="s">
        <v>68</v>
      </c>
    </row>
    <row r="21" spans="1:5" x14ac:dyDescent="0.25">
      <c r="A21">
        <v>1.0766553210000001</v>
      </c>
      <c r="B21">
        <v>34.700000000000003</v>
      </c>
      <c r="D21" t="s">
        <v>73</v>
      </c>
      <c r="E21" t="s">
        <v>69</v>
      </c>
    </row>
    <row r="22" spans="1:5" x14ac:dyDescent="0.25">
      <c r="A22">
        <v>3.2587850089999999</v>
      </c>
      <c r="B22">
        <v>101.9</v>
      </c>
      <c r="D22" t="s">
        <v>74</v>
      </c>
      <c r="E22" t="s">
        <v>65</v>
      </c>
    </row>
    <row r="23" spans="1:5" x14ac:dyDescent="0.25">
      <c r="A23">
        <v>2.6052562479999999</v>
      </c>
      <c r="B23">
        <v>67.900000000000006</v>
      </c>
      <c r="D23" t="s">
        <v>74</v>
      </c>
      <c r="E23" t="s">
        <v>67</v>
      </c>
    </row>
    <row r="24" spans="1:5" x14ac:dyDescent="0.25">
      <c r="A24">
        <v>3.7108952290000001</v>
      </c>
      <c r="B24">
        <v>131.1</v>
      </c>
      <c r="D24" t="s">
        <v>74</v>
      </c>
      <c r="E24" t="s">
        <v>68</v>
      </c>
    </row>
    <row r="25" spans="1:5" x14ac:dyDescent="0.25">
      <c r="A25">
        <v>1.1164045819999999</v>
      </c>
      <c r="B25">
        <v>20.6</v>
      </c>
      <c r="D25" t="s">
        <v>75</v>
      </c>
      <c r="E25" t="s">
        <v>65</v>
      </c>
    </row>
    <row r="26" spans="1:5" x14ac:dyDescent="0.25">
      <c r="A26">
        <v>2.4562944660000001</v>
      </c>
      <c r="B26">
        <v>96.100000000000009</v>
      </c>
      <c r="D26" t="s">
        <v>75</v>
      </c>
      <c r="E26" t="s">
        <v>67</v>
      </c>
    </row>
    <row r="27" spans="1:5" x14ac:dyDescent="0.25">
      <c r="A27">
        <v>2.2888879900000001</v>
      </c>
      <c r="B27">
        <v>67.900000000000006</v>
      </c>
      <c r="D27" t="s">
        <v>75</v>
      </c>
      <c r="E27" t="s">
        <v>68</v>
      </c>
    </row>
    <row r="28" spans="1:5" x14ac:dyDescent="0.25">
      <c r="A28">
        <v>4.2618632439999997</v>
      </c>
      <c r="B28">
        <v>150.4</v>
      </c>
      <c r="D28" t="s">
        <v>75</v>
      </c>
      <c r="E28" t="s">
        <v>69</v>
      </c>
    </row>
    <row r="29" spans="1:5" x14ac:dyDescent="0.25">
      <c r="A29">
        <v>0.87000812409999995</v>
      </c>
      <c r="B29">
        <v>18.8</v>
      </c>
      <c r="D29" t="s">
        <v>76</v>
      </c>
      <c r="E29" t="s">
        <v>65</v>
      </c>
    </row>
    <row r="30" spans="1:5" x14ac:dyDescent="0.25">
      <c r="A30">
        <v>2.8702981599999999</v>
      </c>
      <c r="B30">
        <v>76.300000000000011</v>
      </c>
      <c r="D30" t="s">
        <v>76</v>
      </c>
      <c r="E30" t="s">
        <v>67</v>
      </c>
    </row>
    <row r="31" spans="1:5" x14ac:dyDescent="0.25">
      <c r="A31">
        <v>1.4999971519999999</v>
      </c>
      <c r="B31">
        <v>31.5</v>
      </c>
      <c r="D31" t="s">
        <v>76</v>
      </c>
      <c r="E31" t="s">
        <v>68</v>
      </c>
    </row>
    <row r="32" spans="1:5" x14ac:dyDescent="0.25">
      <c r="A32">
        <v>2.528644098</v>
      </c>
      <c r="B32">
        <v>64.5</v>
      </c>
      <c r="D32" t="s">
        <v>76</v>
      </c>
      <c r="E32" t="s">
        <v>69</v>
      </c>
    </row>
    <row r="33" spans="1:5" x14ac:dyDescent="0.25">
      <c r="A33">
        <v>3.121259818</v>
      </c>
      <c r="B33">
        <v>90.300000000000011</v>
      </c>
      <c r="D33" t="s">
        <v>77</v>
      </c>
      <c r="E33" t="s">
        <v>65</v>
      </c>
    </row>
    <row r="34" spans="1:5" x14ac:dyDescent="0.25">
      <c r="A34">
        <v>1.495978365</v>
      </c>
      <c r="B34">
        <v>27.7</v>
      </c>
      <c r="D34" t="s">
        <v>77</v>
      </c>
      <c r="E34" t="s">
        <v>68</v>
      </c>
    </row>
    <row r="35" spans="1:5" x14ac:dyDescent="0.25">
      <c r="A35">
        <v>2.5317746489999999</v>
      </c>
      <c r="B35">
        <v>80.400000000000006</v>
      </c>
      <c r="D35" t="s">
        <v>77</v>
      </c>
      <c r="E35" t="s">
        <v>69</v>
      </c>
    </row>
    <row r="36" spans="1:5" x14ac:dyDescent="0.25">
      <c r="A36">
        <v>3.1739514839999998</v>
      </c>
      <c r="B36">
        <v>103.9</v>
      </c>
      <c r="D36" t="s">
        <v>78</v>
      </c>
      <c r="E36" t="s">
        <v>65</v>
      </c>
    </row>
    <row r="37" spans="1:5" x14ac:dyDescent="0.25">
      <c r="A37">
        <v>1.3334151279999999</v>
      </c>
      <c r="B37">
        <v>26.3</v>
      </c>
      <c r="D37" t="s">
        <v>78</v>
      </c>
      <c r="E37" t="s">
        <v>68</v>
      </c>
    </row>
    <row r="38" spans="1:5" x14ac:dyDescent="0.25">
      <c r="A38">
        <v>1.492042519</v>
      </c>
      <c r="B38">
        <v>64.400000000000006</v>
      </c>
      <c r="D38" t="s">
        <v>78</v>
      </c>
      <c r="E38" t="s">
        <v>69</v>
      </c>
    </row>
    <row r="39" spans="1:5" x14ac:dyDescent="0.25">
      <c r="A39">
        <v>1.7129399519999999</v>
      </c>
      <c r="B39">
        <v>50</v>
      </c>
      <c r="D39" t="s">
        <v>79</v>
      </c>
      <c r="E39" t="s">
        <v>65</v>
      </c>
    </row>
    <row r="40" spans="1:5" x14ac:dyDescent="0.25">
      <c r="A40">
        <v>2.7845836620000002</v>
      </c>
      <c r="B40">
        <v>91</v>
      </c>
      <c r="D40" t="s">
        <v>79</v>
      </c>
      <c r="E40" t="s">
        <v>68</v>
      </c>
    </row>
    <row r="41" spans="1:5" x14ac:dyDescent="0.25">
      <c r="A41">
        <v>1.6729911500000001</v>
      </c>
      <c r="B41">
        <v>45.199999999999996</v>
      </c>
      <c r="D41" t="s">
        <v>79</v>
      </c>
      <c r="E41" t="s">
        <v>69</v>
      </c>
    </row>
    <row r="42" spans="1:5" x14ac:dyDescent="0.25">
      <c r="A42">
        <v>2.5453547169999999</v>
      </c>
      <c r="B42">
        <v>78.399999999999991</v>
      </c>
      <c r="D42" t="s">
        <v>80</v>
      </c>
      <c r="E42" t="s">
        <v>65</v>
      </c>
    </row>
    <row r="43" spans="1:5" x14ac:dyDescent="0.25">
      <c r="A43">
        <v>1.3743944100000001</v>
      </c>
      <c r="B43">
        <v>34.5</v>
      </c>
      <c r="D43" t="s">
        <v>80</v>
      </c>
      <c r="E43" t="s">
        <v>68</v>
      </c>
    </row>
    <row r="44" spans="1:5" x14ac:dyDescent="0.25">
      <c r="A44">
        <v>1.0696560070000001</v>
      </c>
      <c r="B44">
        <v>16.7</v>
      </c>
      <c r="D44" t="s">
        <v>80</v>
      </c>
      <c r="E44" t="s">
        <v>69</v>
      </c>
    </row>
    <row r="45" spans="1:5" x14ac:dyDescent="0.25">
      <c r="A45">
        <v>2.1695688889999998</v>
      </c>
      <c r="B45">
        <v>49.5</v>
      </c>
      <c r="D45" t="s">
        <v>81</v>
      </c>
      <c r="E45" t="s">
        <v>65</v>
      </c>
    </row>
    <row r="46" spans="1:5" x14ac:dyDescent="0.25">
      <c r="A46">
        <v>2.5880157819999998</v>
      </c>
      <c r="B46">
        <v>72.099999999999994</v>
      </c>
      <c r="D46" t="s">
        <v>81</v>
      </c>
      <c r="E46" t="s">
        <v>67</v>
      </c>
    </row>
    <row r="47" spans="1:5" x14ac:dyDescent="0.25">
      <c r="A47">
        <v>0.84376739249999999</v>
      </c>
      <c r="B47">
        <v>13</v>
      </c>
      <c r="D47" t="s">
        <v>81</v>
      </c>
      <c r="E47" t="s">
        <v>68</v>
      </c>
    </row>
    <row r="48" spans="1:5" x14ac:dyDescent="0.25">
      <c r="A48">
        <v>1.6806971429999999</v>
      </c>
      <c r="B48">
        <v>39</v>
      </c>
      <c r="D48" t="s">
        <v>81</v>
      </c>
      <c r="E48" t="s">
        <v>69</v>
      </c>
    </row>
    <row r="49" spans="1:5" x14ac:dyDescent="0.25">
      <c r="A49">
        <v>0.25373375409999999</v>
      </c>
      <c r="B49">
        <v>8</v>
      </c>
      <c r="D49" t="s">
        <v>82</v>
      </c>
      <c r="E49" t="s">
        <v>65</v>
      </c>
    </row>
    <row r="50" spans="1:5" x14ac:dyDescent="0.25">
      <c r="A50">
        <v>1.3775096529999999</v>
      </c>
      <c r="B50">
        <v>32.5</v>
      </c>
      <c r="D50" t="s">
        <v>82</v>
      </c>
      <c r="E50" t="s">
        <v>67</v>
      </c>
    </row>
    <row r="51" spans="1:5" x14ac:dyDescent="0.25">
      <c r="A51">
        <v>0.1858002245</v>
      </c>
      <c r="B51">
        <v>4.2</v>
      </c>
      <c r="D51" t="s">
        <v>82</v>
      </c>
      <c r="E51" t="s">
        <v>68</v>
      </c>
    </row>
    <row r="52" spans="1:5" x14ac:dyDescent="0.25">
      <c r="A52">
        <v>1.988220632</v>
      </c>
      <c r="B52">
        <v>80.400000000000006</v>
      </c>
      <c r="D52" t="s">
        <v>82</v>
      </c>
      <c r="E52" t="s">
        <v>69</v>
      </c>
    </row>
    <row r="53" spans="1:5" x14ac:dyDescent="0.25">
      <c r="A53">
        <v>2.2715194209999998</v>
      </c>
      <c r="B53">
        <v>55.4</v>
      </c>
      <c r="D53" t="s">
        <v>83</v>
      </c>
      <c r="E53" t="s">
        <v>65</v>
      </c>
    </row>
    <row r="54" spans="1:5" x14ac:dyDescent="0.25">
      <c r="A54">
        <v>0.23055410200000001</v>
      </c>
      <c r="B54">
        <v>8.9</v>
      </c>
      <c r="D54" t="s">
        <v>83</v>
      </c>
      <c r="E54" t="s">
        <v>68</v>
      </c>
    </row>
    <row r="55" spans="1:5" x14ac:dyDescent="0.25">
      <c r="A55">
        <v>2.733381971</v>
      </c>
      <c r="B55">
        <v>57.2</v>
      </c>
      <c r="D55" t="s">
        <v>84</v>
      </c>
      <c r="E55" t="s">
        <v>65</v>
      </c>
    </row>
    <row r="56" spans="1:5" x14ac:dyDescent="0.25">
      <c r="A56">
        <v>0.25796674200000003</v>
      </c>
      <c r="B56">
        <v>8.6</v>
      </c>
      <c r="D56" t="s">
        <v>84</v>
      </c>
      <c r="E56" t="s">
        <v>68</v>
      </c>
    </row>
    <row r="57" spans="1:5" x14ac:dyDescent="0.25">
      <c r="A57">
        <v>3.4882411800000002</v>
      </c>
      <c r="B57">
        <v>130</v>
      </c>
      <c r="D57" t="s">
        <v>84</v>
      </c>
      <c r="E57" t="s">
        <v>69</v>
      </c>
    </row>
    <row r="58" spans="1:5" x14ac:dyDescent="0.25">
      <c r="A58">
        <v>1.3754908889999999</v>
      </c>
      <c r="B58">
        <v>37.699999999999996</v>
      </c>
      <c r="D58" t="s">
        <v>85</v>
      </c>
      <c r="E58" t="s">
        <v>65</v>
      </c>
    </row>
    <row r="59" spans="1:5" x14ac:dyDescent="0.25">
      <c r="A59">
        <v>3.5945970859999998</v>
      </c>
      <c r="B59">
        <v>133.20000000000002</v>
      </c>
      <c r="D59" t="s">
        <v>85</v>
      </c>
      <c r="E59" t="s">
        <v>68</v>
      </c>
    </row>
    <row r="60" spans="1:5" x14ac:dyDescent="0.25">
      <c r="A60">
        <v>0.4554118962</v>
      </c>
      <c r="B60">
        <v>14.9</v>
      </c>
      <c r="D60" t="s">
        <v>85</v>
      </c>
      <c r="E60" t="s">
        <v>69</v>
      </c>
    </row>
    <row r="61" spans="1:5" x14ac:dyDescent="0.25">
      <c r="A61">
        <v>2.5642208900000001</v>
      </c>
      <c r="B61">
        <v>77.2</v>
      </c>
      <c r="D61" t="s">
        <v>86</v>
      </c>
      <c r="E61" t="s">
        <v>65</v>
      </c>
    </row>
    <row r="62" spans="1:5" x14ac:dyDescent="0.25">
      <c r="A62">
        <v>2.917358718</v>
      </c>
      <c r="B62">
        <v>85.2</v>
      </c>
      <c r="D62" t="s">
        <v>86</v>
      </c>
      <c r="E62" t="s">
        <v>68</v>
      </c>
    </row>
    <row r="63" spans="1:5" x14ac:dyDescent="0.25">
      <c r="A63">
        <v>0.51588024860000004</v>
      </c>
      <c r="B63">
        <v>22.4</v>
      </c>
      <c r="D63" t="s">
        <v>86</v>
      </c>
      <c r="E63" t="s">
        <v>69</v>
      </c>
    </row>
    <row r="64" spans="1:5" x14ac:dyDescent="0.25">
      <c r="A64">
        <v>4.322742066</v>
      </c>
      <c r="B64">
        <v>151.29999999999998</v>
      </c>
      <c r="D64" t="s">
        <v>87</v>
      </c>
      <c r="E64" t="s">
        <v>65</v>
      </c>
    </row>
    <row r="65" spans="1:5" x14ac:dyDescent="0.25">
      <c r="A65">
        <v>3.8314211810000001</v>
      </c>
      <c r="B65">
        <v>106.7</v>
      </c>
      <c r="D65" t="s">
        <v>87</v>
      </c>
      <c r="E65" t="s">
        <v>68</v>
      </c>
    </row>
    <row r="66" spans="1:5" x14ac:dyDescent="0.25">
      <c r="A66">
        <v>0.46651183070000002</v>
      </c>
      <c r="B66">
        <v>10.4</v>
      </c>
      <c r="D66" t="s">
        <v>87</v>
      </c>
      <c r="E66" t="s">
        <v>69</v>
      </c>
    </row>
    <row r="67" spans="1:5" x14ac:dyDescent="0.25">
      <c r="A67">
        <v>2.2723935119999998</v>
      </c>
      <c r="B67">
        <v>68</v>
      </c>
      <c r="D67" t="s">
        <v>88</v>
      </c>
      <c r="E67" t="s">
        <v>65</v>
      </c>
    </row>
    <row r="68" spans="1:5" x14ac:dyDescent="0.25">
      <c r="A68">
        <v>0.23752285719999999</v>
      </c>
      <c r="B68">
        <v>13.700000000000001</v>
      </c>
      <c r="D68" t="s">
        <v>88</v>
      </c>
      <c r="E68" t="s">
        <v>67</v>
      </c>
    </row>
    <row r="69" spans="1:5" x14ac:dyDescent="0.25">
      <c r="A69">
        <v>1.92036991</v>
      </c>
      <c r="B69">
        <v>48.300000000000004</v>
      </c>
      <c r="D69" t="s">
        <v>88</v>
      </c>
      <c r="E69" t="s">
        <v>68</v>
      </c>
    </row>
    <row r="70" spans="1:5" x14ac:dyDescent="0.25">
      <c r="A70">
        <v>0.29140348919999998</v>
      </c>
      <c r="B70">
        <v>7.1000000000000005</v>
      </c>
      <c r="D70" t="s">
        <v>88</v>
      </c>
      <c r="E70" t="s">
        <v>69</v>
      </c>
    </row>
    <row r="71" spans="1:5" x14ac:dyDescent="0.25">
      <c r="A71">
        <v>2.3527837269999998</v>
      </c>
      <c r="B71">
        <v>76.599999999999994</v>
      </c>
      <c r="D71" t="s">
        <v>89</v>
      </c>
      <c r="E71" t="s">
        <v>65</v>
      </c>
    </row>
    <row r="72" spans="1:5" x14ac:dyDescent="0.25">
      <c r="A72">
        <v>0.37944222840000003</v>
      </c>
      <c r="B72">
        <v>10.7</v>
      </c>
      <c r="D72" t="s">
        <v>89</v>
      </c>
      <c r="E72" t="s">
        <v>68</v>
      </c>
    </row>
    <row r="73" spans="1:5" x14ac:dyDescent="0.25">
      <c r="A73">
        <v>4.4271030260000002</v>
      </c>
      <c r="B73">
        <v>154.20000000000002</v>
      </c>
      <c r="D73" t="s">
        <v>89</v>
      </c>
      <c r="E73" t="s">
        <v>69</v>
      </c>
    </row>
    <row r="74" spans="1:5" x14ac:dyDescent="0.25">
      <c r="A74">
        <v>3.1134739219999998</v>
      </c>
      <c r="B74">
        <v>81.199999999999989</v>
      </c>
      <c r="D74" t="s">
        <v>90</v>
      </c>
      <c r="E74" t="s">
        <v>65</v>
      </c>
    </row>
    <row r="75" spans="1:5" x14ac:dyDescent="0.25">
      <c r="A75">
        <v>0.22756540780000001</v>
      </c>
      <c r="B75">
        <v>10.200000000000001</v>
      </c>
      <c r="D75" t="s">
        <v>90</v>
      </c>
      <c r="E75" t="s">
        <v>68</v>
      </c>
    </row>
    <row r="76" spans="1:5" x14ac:dyDescent="0.25">
      <c r="A76">
        <v>0.40492620499999998</v>
      </c>
      <c r="B76">
        <v>14.7</v>
      </c>
      <c r="D76" t="s">
        <v>91</v>
      </c>
      <c r="E76" t="s">
        <v>65</v>
      </c>
    </row>
    <row r="77" spans="1:5" x14ac:dyDescent="0.25">
      <c r="A77">
        <v>0.24486413600000001</v>
      </c>
      <c r="B77">
        <v>8.9</v>
      </c>
      <c r="D77" t="s">
        <v>91</v>
      </c>
      <c r="E77" t="s">
        <v>68</v>
      </c>
    </row>
    <row r="78" spans="1:5" x14ac:dyDescent="0.25">
      <c r="A78">
        <v>2.0596252970000002</v>
      </c>
      <c r="B78">
        <v>58.1</v>
      </c>
      <c r="D78" t="s">
        <v>92</v>
      </c>
      <c r="E78" t="s">
        <v>65</v>
      </c>
    </row>
    <row r="79" spans="1:5" x14ac:dyDescent="0.25">
      <c r="A79">
        <v>0.2191333771</v>
      </c>
      <c r="B79">
        <v>7.4</v>
      </c>
      <c r="D79" t="s">
        <v>92</v>
      </c>
      <c r="E79" t="s">
        <v>68</v>
      </c>
    </row>
    <row r="80" spans="1:5" x14ac:dyDescent="0.25">
      <c r="A80">
        <v>4.6714022689999997</v>
      </c>
      <c r="B80">
        <v>135.9</v>
      </c>
      <c r="D80" t="s">
        <v>92</v>
      </c>
      <c r="E80" t="s">
        <v>69</v>
      </c>
    </row>
    <row r="81" spans="1:5" x14ac:dyDescent="0.25">
      <c r="A81">
        <v>0.4979767725</v>
      </c>
      <c r="B81">
        <v>15.7</v>
      </c>
      <c r="D81" t="s">
        <v>93</v>
      </c>
      <c r="E81" t="s">
        <v>68</v>
      </c>
    </row>
    <row r="82" spans="1:5" x14ac:dyDescent="0.25">
      <c r="A82">
        <v>4.8398823999999996</v>
      </c>
      <c r="B82">
        <v>134.9</v>
      </c>
      <c r="D82" t="s">
        <v>93</v>
      </c>
      <c r="E82" t="s">
        <v>69</v>
      </c>
    </row>
    <row r="83" spans="1:5" x14ac:dyDescent="0.25">
      <c r="A83">
        <v>2.812282551</v>
      </c>
      <c r="B83">
        <v>73.400000000000006</v>
      </c>
      <c r="D83" t="s">
        <v>94</v>
      </c>
      <c r="E83" t="s">
        <v>65</v>
      </c>
    </row>
    <row r="84" spans="1:5" x14ac:dyDescent="0.25">
      <c r="A84">
        <v>0.32994306089999997</v>
      </c>
      <c r="B84">
        <v>10</v>
      </c>
      <c r="D84" t="s">
        <v>94</v>
      </c>
      <c r="E84" t="s">
        <v>68</v>
      </c>
    </row>
    <row r="85" spans="1:5" x14ac:dyDescent="0.25">
      <c r="A85">
        <v>0.35935288669999998</v>
      </c>
      <c r="B85">
        <v>10.5</v>
      </c>
      <c r="D85" t="s">
        <v>95</v>
      </c>
      <c r="E85" t="s">
        <v>68</v>
      </c>
    </row>
    <row r="86" spans="1:5" x14ac:dyDescent="0.25">
      <c r="A86">
        <v>0.19409945980000001</v>
      </c>
      <c r="B86">
        <v>5.5</v>
      </c>
      <c r="D86" t="s">
        <v>96</v>
      </c>
      <c r="E86" t="s">
        <v>65</v>
      </c>
    </row>
    <row r="87" spans="1:5" x14ac:dyDescent="0.25">
      <c r="A87">
        <v>0.166650191</v>
      </c>
      <c r="B87">
        <v>5.6</v>
      </c>
      <c r="D87" t="s">
        <v>96</v>
      </c>
      <c r="E87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35891-A055-4583-8A0D-BEF7FBB19145}">
  <dimension ref="A2:AO96"/>
  <sheetViews>
    <sheetView workbookViewId="0">
      <selection activeCell="AJ23" sqref="AJ23"/>
    </sheetView>
  </sheetViews>
  <sheetFormatPr defaultRowHeight="15" x14ac:dyDescent="0.25"/>
  <sheetData>
    <row r="2" spans="1:41" x14ac:dyDescent="0.25">
      <c r="M2" t="s">
        <v>100</v>
      </c>
    </row>
    <row r="3" spans="1:41" x14ac:dyDescent="0.25">
      <c r="M3" t="s">
        <v>97</v>
      </c>
      <c r="N3" t="s">
        <v>98</v>
      </c>
      <c r="O3" t="s">
        <v>99</v>
      </c>
    </row>
    <row r="4" spans="1:41" x14ac:dyDescent="0.25">
      <c r="M4">
        <v>5</v>
      </c>
      <c r="N4">
        <v>1.24E-2</v>
      </c>
      <c r="O4">
        <v>0.57810826879999999</v>
      </c>
    </row>
    <row r="5" spans="1:41" x14ac:dyDescent="0.25">
      <c r="M5">
        <v>10</v>
      </c>
      <c r="N5">
        <v>2.18E-2</v>
      </c>
      <c r="O5">
        <v>1.155326324</v>
      </c>
    </row>
    <row r="6" spans="1:41" x14ac:dyDescent="0.25">
      <c r="M6">
        <v>30</v>
      </c>
      <c r="N6">
        <v>6.2600000000000003E-2</v>
      </c>
      <c r="O6">
        <v>2.6150261929999998</v>
      </c>
    </row>
    <row r="7" spans="1:41" x14ac:dyDescent="0.25">
      <c r="M7">
        <v>70</v>
      </c>
      <c r="N7">
        <v>0.14119999999999999</v>
      </c>
      <c r="O7">
        <v>6.8909627970000003</v>
      </c>
    </row>
    <row r="8" spans="1:41" x14ac:dyDescent="0.25">
      <c r="M8">
        <v>100</v>
      </c>
      <c r="N8">
        <v>0.17810000000000001</v>
      </c>
      <c r="O8">
        <v>8.3281209050000005</v>
      </c>
    </row>
    <row r="12" spans="1:41" x14ac:dyDescent="0.25">
      <c r="A12" s="1" t="s">
        <v>101</v>
      </c>
      <c r="B12" s="1" t="s">
        <v>102</v>
      </c>
      <c r="C12" s="1" t="s">
        <v>103</v>
      </c>
      <c r="D12" s="1" t="s">
        <v>104</v>
      </c>
      <c r="E12" s="1" t="s">
        <v>105</v>
      </c>
      <c r="F12" s="1" t="s">
        <v>57</v>
      </c>
      <c r="G12" s="1" t="s">
        <v>55</v>
      </c>
      <c r="H12" s="1" t="s">
        <v>106</v>
      </c>
      <c r="I12" s="1" t="s">
        <v>107</v>
      </c>
      <c r="J12" s="1" t="s">
        <v>108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 t="s">
        <v>109</v>
      </c>
      <c r="X12" s="1" t="s">
        <v>59</v>
      </c>
      <c r="Y12" s="1" t="s">
        <v>104</v>
      </c>
      <c r="Z12" s="1" t="s">
        <v>105</v>
      </c>
      <c r="AA12" s="1" t="s">
        <v>57</v>
      </c>
      <c r="AB12" s="1" t="s">
        <v>55</v>
      </c>
      <c r="AC12" s="1" t="s">
        <v>106</v>
      </c>
      <c r="AD12" s="1" t="s">
        <v>107</v>
      </c>
      <c r="AE12" s="1" t="s">
        <v>108</v>
      </c>
      <c r="AF12" s="1"/>
      <c r="AG12" s="1"/>
      <c r="AH12" s="1"/>
      <c r="AI12" s="1"/>
    </row>
    <row r="13" spans="1:41" x14ac:dyDescent="0.25">
      <c r="A13" t="s">
        <v>65</v>
      </c>
      <c r="B13">
        <v>13.33333333</v>
      </c>
      <c r="C13">
        <v>10.03490131</v>
      </c>
      <c r="D13">
        <f>B13-C13</f>
        <v>3.2984320199999999</v>
      </c>
      <c r="E13">
        <f>(D13/C13)*100</f>
        <v>32.869600986638901</v>
      </c>
      <c r="F13">
        <f>(ABS(B13-C13)/AVERAGE(B13:C13))*100</f>
        <v>28.230048789000005</v>
      </c>
      <c r="G13">
        <f>D13^2</f>
        <v>10.87965379056128</v>
      </c>
      <c r="H13">
        <f>SQRT((1/COUNT(E13:E71))*SUM(G13:G71))</f>
        <v>12.515272029527507</v>
      </c>
      <c r="I13">
        <f>AVERAGE(E13:E71)</f>
        <v>24.837500895814006</v>
      </c>
      <c r="J13">
        <f>AVERAGE(F13:F71)</f>
        <v>31.223245690950542</v>
      </c>
      <c r="W13">
        <v>12.724004962053808</v>
      </c>
      <c r="X13">
        <v>10.03490131</v>
      </c>
      <c r="Y13">
        <f>W13-X13</f>
        <v>2.6891036520538076</v>
      </c>
      <c r="Z13">
        <f>(Y13/X13)*100</f>
        <v>26.79750970120709</v>
      </c>
      <c r="AA13">
        <f>(ABS(W13-X13)/AVERAGE(W13:X13))*100</f>
        <v>23.631220410234043</v>
      </c>
      <c r="AB13">
        <f>Y13^2</f>
        <v>7.2312784514891257</v>
      </c>
      <c r="AC13">
        <f>SQRT((1/COUNT(Z13:Z65))*SUM(AA13:AA65))</f>
        <v>4.4706441886642434</v>
      </c>
      <c r="AD13">
        <f>AVERAGE(Z13:Z65)</f>
        <v>3.6912835593801399</v>
      </c>
      <c r="AE13">
        <f>AVERAGE(AA13:AA65)</f>
        <v>19.986659461637373</v>
      </c>
    </row>
    <row r="14" spans="1:41" x14ac:dyDescent="0.25">
      <c r="A14" t="s">
        <v>65</v>
      </c>
      <c r="B14">
        <v>13.5</v>
      </c>
      <c r="C14">
        <v>9.4443484770000001</v>
      </c>
      <c r="D14">
        <f t="shared" ref="D14:D71" si="0">B14-C14</f>
        <v>4.0556515229999999</v>
      </c>
      <c r="E14">
        <f t="shared" ref="E14:E71" si="1">(D14/C14)*100</f>
        <v>42.942628947637886</v>
      </c>
      <c r="F14">
        <f t="shared" ref="F14:F71" si="2">(ABS(B14-C14)/AVERAGE(B14:C14))*100</f>
        <v>35.35207397207629</v>
      </c>
      <c r="G14">
        <f t="shared" ref="G14:G71" si="3">D14^2</f>
        <v>16.448309276012218</v>
      </c>
      <c r="L14" t="s">
        <v>110</v>
      </c>
      <c r="W14">
        <v>12.84379753748942</v>
      </c>
      <c r="X14">
        <v>9.4443484770000001</v>
      </c>
      <c r="Y14">
        <f t="shared" ref="Y14:Y65" si="4">W14-X14</f>
        <v>3.3994490604894203</v>
      </c>
      <c r="Z14">
        <f t="shared" ref="Z14:Z65" si="5">(Y14/X14)*100</f>
        <v>35.994532272587811</v>
      </c>
      <c r="AA14">
        <f t="shared" ref="AA14:AA65" si="6">(ABS(W14-X14)/AVERAGE(W14:X14))*100</f>
        <v>30.504547648597192</v>
      </c>
      <c r="AB14">
        <f t="shared" ref="AB14:AB65" si="7">Y14^2</f>
        <v>11.556253914862403</v>
      </c>
      <c r="AH14" s="1" t="s">
        <v>111</v>
      </c>
      <c r="AI14" s="1"/>
      <c r="AJ14" s="1"/>
      <c r="AK14" s="1"/>
      <c r="AL14" s="1"/>
      <c r="AM14" s="1"/>
      <c r="AN14" s="1"/>
      <c r="AO14" s="1"/>
    </row>
    <row r="15" spans="1:41" x14ac:dyDescent="0.25">
      <c r="A15" t="s">
        <v>65</v>
      </c>
      <c r="B15">
        <v>69.583333330000002</v>
      </c>
      <c r="C15">
        <v>49.334225179999997</v>
      </c>
      <c r="D15">
        <f t="shared" si="0"/>
        <v>20.249108150000005</v>
      </c>
      <c r="E15">
        <f t="shared" si="1"/>
        <v>41.044747487407498</v>
      </c>
      <c r="F15">
        <f t="shared" si="2"/>
        <v>34.055707842836718</v>
      </c>
      <c r="G15">
        <f t="shared" si="3"/>
        <v>410.02638087039662</v>
      </c>
      <c r="W15">
        <v>53.15399836297339</v>
      </c>
      <c r="X15">
        <v>49.334225179999997</v>
      </c>
      <c r="Y15">
        <f t="shared" si="4"/>
        <v>3.8197731829733925</v>
      </c>
      <c r="Z15">
        <f t="shared" si="5"/>
        <v>7.7426435077000493</v>
      </c>
      <c r="AA15">
        <f t="shared" si="6"/>
        <v>7.454072382026915</v>
      </c>
      <c r="AB15">
        <f t="shared" si="7"/>
        <v>14.590667169362682</v>
      </c>
      <c r="AH15" s="1" t="s">
        <v>112</v>
      </c>
      <c r="AI15" s="1"/>
      <c r="AJ15" s="1"/>
      <c r="AK15" s="1"/>
      <c r="AL15" s="1"/>
      <c r="AM15" s="1"/>
      <c r="AN15" s="1"/>
      <c r="AO15" s="1"/>
    </row>
    <row r="16" spans="1:41" x14ac:dyDescent="0.25">
      <c r="A16" t="s">
        <v>69</v>
      </c>
      <c r="B16">
        <v>24.333333329999999</v>
      </c>
      <c r="C16">
        <v>14.93447377</v>
      </c>
      <c r="D16">
        <f t="shared" si="0"/>
        <v>9.3988595599999982</v>
      </c>
      <c r="E16">
        <f t="shared" si="1"/>
        <v>62.933985520669587</v>
      </c>
      <c r="F16">
        <f t="shared" si="2"/>
        <v>47.87055990198138</v>
      </c>
      <c r="G16">
        <f t="shared" si="3"/>
        <v>88.338561028603365</v>
      </c>
      <c r="L16" t="s">
        <v>113</v>
      </c>
      <c r="W16">
        <v>20.630314782678081</v>
      </c>
      <c r="X16">
        <v>14.93447377</v>
      </c>
      <c r="Y16">
        <f t="shared" si="4"/>
        <v>5.6958410126780805</v>
      </c>
      <c r="Z16">
        <f t="shared" si="5"/>
        <v>38.138879885542032</v>
      </c>
      <c r="AA16">
        <f t="shared" si="6"/>
        <v>32.030788003935285</v>
      </c>
      <c r="AB16">
        <f t="shared" si="7"/>
        <v>32.442604841705659</v>
      </c>
      <c r="AH16" s="1" t="s">
        <v>114</v>
      </c>
      <c r="AI16" s="1"/>
      <c r="AJ16" s="1"/>
      <c r="AK16" s="1"/>
      <c r="AL16" s="1"/>
      <c r="AM16" s="1"/>
      <c r="AN16" s="1"/>
      <c r="AO16" s="1"/>
    </row>
    <row r="17" spans="1:41" x14ac:dyDescent="0.25">
      <c r="A17" t="s">
        <v>65</v>
      </c>
      <c r="B17">
        <v>52.5</v>
      </c>
      <c r="C17">
        <v>53.92733844</v>
      </c>
      <c r="D17">
        <f t="shared" si="0"/>
        <v>-1.4273384399999998</v>
      </c>
      <c r="E17">
        <f t="shared" si="1"/>
        <v>-2.6467808004062139</v>
      </c>
      <c r="F17">
        <f t="shared" si="2"/>
        <v>2.68227780741634</v>
      </c>
      <c r="G17">
        <f t="shared" si="3"/>
        <v>2.0372950223016328</v>
      </c>
      <c r="L17" t="s">
        <v>115</v>
      </c>
      <c r="M17">
        <v>0.95404991603796496</v>
      </c>
      <c r="W17">
        <v>40.875259628793664</v>
      </c>
      <c r="X17">
        <v>53.92733844</v>
      </c>
      <c r="Y17">
        <f t="shared" si="4"/>
        <v>-13.052078811206336</v>
      </c>
      <c r="Z17">
        <f t="shared" si="5"/>
        <v>-24.203083609861789</v>
      </c>
      <c r="AA17">
        <f t="shared" si="6"/>
        <v>27.535276621290638</v>
      </c>
      <c r="AB17">
        <f t="shared" si="7"/>
        <v>170.35676129394139</v>
      </c>
      <c r="AH17" s="1" t="s">
        <v>116</v>
      </c>
      <c r="AI17" s="1"/>
      <c r="AJ17" s="1"/>
      <c r="AK17" s="1"/>
      <c r="AL17" s="1"/>
      <c r="AM17" s="1"/>
      <c r="AN17" s="1"/>
      <c r="AO17" s="1"/>
    </row>
    <row r="18" spans="1:41" x14ac:dyDescent="0.25">
      <c r="A18" t="s">
        <v>68</v>
      </c>
      <c r="B18">
        <v>4.6666666670000003</v>
      </c>
      <c r="C18">
        <v>16.40756704</v>
      </c>
      <c r="D18">
        <f t="shared" si="0"/>
        <v>-11.740900372999999</v>
      </c>
      <c r="E18">
        <f t="shared" si="1"/>
        <v>-71.557838797043232</v>
      </c>
      <c r="F18">
        <f t="shared" si="2"/>
        <v>111.4242210296847</v>
      </c>
      <c r="G18">
        <f t="shared" si="3"/>
        <v>137.84874156871152</v>
      </c>
      <c r="L18" t="s">
        <v>117</v>
      </c>
      <c r="M18">
        <v>0.91021124229204808</v>
      </c>
      <c r="W18">
        <v>6.4947911666216349</v>
      </c>
      <c r="X18">
        <v>16.40756704</v>
      </c>
      <c r="Y18">
        <f t="shared" si="4"/>
        <v>-9.9127758733783651</v>
      </c>
      <c r="Z18">
        <f t="shared" si="5"/>
        <v>-60.415879144129129</v>
      </c>
      <c r="AA18">
        <f t="shared" si="6"/>
        <v>86.565547389895741</v>
      </c>
      <c r="AB18">
        <f t="shared" si="7"/>
        <v>98.263125515832215</v>
      </c>
      <c r="AH18" s="1" t="s">
        <v>118</v>
      </c>
      <c r="AI18" s="1"/>
      <c r="AJ18" s="1"/>
      <c r="AK18" s="1"/>
      <c r="AL18" s="1"/>
      <c r="AM18" s="1"/>
      <c r="AN18" s="1"/>
      <c r="AO18" s="1"/>
    </row>
    <row r="19" spans="1:41" x14ac:dyDescent="0.25">
      <c r="A19" t="s">
        <v>65</v>
      </c>
      <c r="B19">
        <v>52</v>
      </c>
      <c r="C19">
        <v>40.326515749999999</v>
      </c>
      <c r="D19">
        <f t="shared" si="0"/>
        <v>11.673484250000001</v>
      </c>
      <c r="E19">
        <f t="shared" si="1"/>
        <v>28.947415944309551</v>
      </c>
      <c r="F19">
        <f t="shared" si="2"/>
        <v>25.28739258743229</v>
      </c>
      <c r="G19">
        <f t="shared" si="3"/>
        <v>136.27023453499808</v>
      </c>
      <c r="L19" t="s">
        <v>119</v>
      </c>
      <c r="M19">
        <v>0.90863600092875074</v>
      </c>
      <c r="W19">
        <v>40.515881909674377</v>
      </c>
      <c r="X19">
        <v>40.326515749999999</v>
      </c>
      <c r="Y19">
        <f t="shared" si="4"/>
        <v>0.18936615967437831</v>
      </c>
      <c r="Z19">
        <f t="shared" si="5"/>
        <v>0.46958224917901153</v>
      </c>
      <c r="AA19">
        <f t="shared" si="6"/>
        <v>0.46848229433164751</v>
      </c>
      <c r="AB19">
        <f t="shared" si="7"/>
        <v>3.5859542429822144E-2</v>
      </c>
      <c r="AH19" s="1" t="s">
        <v>120</v>
      </c>
      <c r="AI19" s="1"/>
      <c r="AJ19" s="1"/>
      <c r="AK19" s="1"/>
      <c r="AL19" s="1"/>
      <c r="AM19" s="1"/>
      <c r="AN19" s="1"/>
      <c r="AO19" s="1"/>
    </row>
    <row r="20" spans="1:41" x14ac:dyDescent="0.25">
      <c r="A20" t="s">
        <v>68</v>
      </c>
      <c r="B20">
        <v>12.58333333</v>
      </c>
      <c r="C20">
        <v>15.5947605</v>
      </c>
      <c r="D20">
        <f t="shared" si="0"/>
        <v>-3.0114271699999993</v>
      </c>
      <c r="E20">
        <f t="shared" si="1"/>
        <v>-19.310506051054769</v>
      </c>
      <c r="F20">
        <f t="shared" si="2"/>
        <v>21.374243326522411</v>
      </c>
      <c r="G20">
        <f t="shared" si="3"/>
        <v>9.0686936002142051</v>
      </c>
      <c r="L20" t="s">
        <v>121</v>
      </c>
      <c r="M20">
        <v>6.2860509565311711</v>
      </c>
      <c r="W20">
        <v>12.184938383374881</v>
      </c>
      <c r="X20">
        <v>15.5947605</v>
      </c>
      <c r="Y20">
        <f t="shared" si="4"/>
        <v>-3.4098221166251186</v>
      </c>
      <c r="Z20">
        <f t="shared" si="5"/>
        <v>-21.865177837294254</v>
      </c>
      <c r="AA20">
        <f t="shared" si="6"/>
        <v>24.549021434251546</v>
      </c>
      <c r="AB20">
        <f t="shared" si="7"/>
        <v>11.626886867025803</v>
      </c>
      <c r="AH20" s="1"/>
      <c r="AI20" s="1"/>
      <c r="AJ20" s="1"/>
      <c r="AK20" s="1"/>
      <c r="AL20" s="1"/>
      <c r="AM20" s="1"/>
      <c r="AN20" s="1"/>
      <c r="AO20" s="1"/>
    </row>
    <row r="21" spans="1:41" x14ac:dyDescent="0.25">
      <c r="A21" t="s">
        <v>65</v>
      </c>
      <c r="B21">
        <v>52</v>
      </c>
      <c r="C21">
        <v>35.071229070000001</v>
      </c>
      <c r="D21">
        <f t="shared" si="0"/>
        <v>16.928770929999999</v>
      </c>
      <c r="E21">
        <f t="shared" si="1"/>
        <v>48.269682525842541</v>
      </c>
      <c r="F21">
        <f t="shared" si="2"/>
        <v>38.88487876147996</v>
      </c>
      <c r="G21">
        <f t="shared" si="3"/>
        <v>286.583285200413</v>
      </c>
      <c r="L21" t="s">
        <v>122</v>
      </c>
      <c r="M21">
        <v>59</v>
      </c>
      <c r="W21">
        <v>40.515881909674377</v>
      </c>
      <c r="X21">
        <v>35.071229070000001</v>
      </c>
      <c r="Y21">
        <f t="shared" si="4"/>
        <v>5.4446528396743759</v>
      </c>
      <c r="Z21">
        <f t="shared" si="5"/>
        <v>15.524556692345129</v>
      </c>
      <c r="AA21">
        <f t="shared" si="6"/>
        <v>14.406299616712328</v>
      </c>
      <c r="AB21">
        <f t="shared" si="7"/>
        <v>29.644244544574246</v>
      </c>
      <c r="AH21" s="1" t="s">
        <v>123</v>
      </c>
      <c r="AI21" s="1"/>
      <c r="AJ21" s="1"/>
      <c r="AK21" s="1"/>
      <c r="AL21" s="1"/>
      <c r="AM21" s="1"/>
      <c r="AN21" s="1"/>
      <c r="AO21" s="1"/>
    </row>
    <row r="22" spans="1:41" x14ac:dyDescent="0.25">
      <c r="A22" t="s">
        <v>68</v>
      </c>
      <c r="B22">
        <v>11.08333333</v>
      </c>
      <c r="C22">
        <v>11.50179608</v>
      </c>
      <c r="D22">
        <f t="shared" si="0"/>
        <v>-0.41846274999999977</v>
      </c>
      <c r="E22">
        <f t="shared" si="1"/>
        <v>-3.6382382985179804</v>
      </c>
      <c r="F22">
        <f t="shared" si="2"/>
        <v>3.7056484592443142</v>
      </c>
      <c r="G22">
        <f t="shared" si="3"/>
        <v>0.1751110731375623</v>
      </c>
      <c r="W22">
        <v>11.106805226017025</v>
      </c>
      <c r="X22">
        <v>11.50179608</v>
      </c>
      <c r="Y22">
        <f t="shared" si="4"/>
        <v>-0.39499085398297495</v>
      </c>
      <c r="Z22">
        <f t="shared" si="5"/>
        <v>-3.4341667269671756</v>
      </c>
      <c r="AA22">
        <f t="shared" si="6"/>
        <v>3.4941644433161159</v>
      </c>
      <c r="AB22">
        <f t="shared" si="7"/>
        <v>0.15601777473019984</v>
      </c>
      <c r="AH22" s="1" t="s">
        <v>124</v>
      </c>
      <c r="AI22" s="1"/>
      <c r="AJ22" s="1"/>
      <c r="AK22" s="1"/>
      <c r="AL22" s="1"/>
      <c r="AM22" s="1"/>
      <c r="AN22" s="1"/>
      <c r="AO22" s="1"/>
    </row>
    <row r="23" spans="1:41" x14ac:dyDescent="0.25">
      <c r="A23" t="s">
        <v>65</v>
      </c>
      <c r="B23">
        <v>59</v>
      </c>
      <c r="C23">
        <v>44.729205319999998</v>
      </c>
      <c r="D23">
        <f t="shared" si="0"/>
        <v>14.270794680000002</v>
      </c>
      <c r="E23">
        <f t="shared" si="1"/>
        <v>31.904869710750322</v>
      </c>
      <c r="F23">
        <f t="shared" si="2"/>
        <v>27.515480593869839</v>
      </c>
      <c r="G23">
        <f t="shared" si="3"/>
        <v>203.65558079871636</v>
      </c>
      <c r="L23" t="s">
        <v>125</v>
      </c>
      <c r="W23">
        <v>45.547169977344375</v>
      </c>
      <c r="X23">
        <v>44.729205319999998</v>
      </c>
      <c r="Y23">
        <f t="shared" si="4"/>
        <v>0.81796465734437618</v>
      </c>
      <c r="Z23">
        <f t="shared" si="5"/>
        <v>1.828703755169635</v>
      </c>
      <c r="AA23">
        <f t="shared" si="6"/>
        <v>1.8121344696222821</v>
      </c>
      <c r="AB23">
        <f t="shared" si="7"/>
        <v>0.66906618066450274</v>
      </c>
      <c r="AH23" s="1" t="s">
        <v>126</v>
      </c>
      <c r="AI23" s="1"/>
      <c r="AJ23" s="1"/>
      <c r="AK23" s="1"/>
      <c r="AL23" s="1"/>
      <c r="AM23" s="1"/>
      <c r="AN23" s="1"/>
      <c r="AO23" s="1"/>
    </row>
    <row r="24" spans="1:41" x14ac:dyDescent="0.25">
      <c r="A24" t="s">
        <v>68</v>
      </c>
      <c r="B24">
        <v>21.666666670000001</v>
      </c>
      <c r="C24">
        <v>21.966730099999999</v>
      </c>
      <c r="D24">
        <f t="shared" si="0"/>
        <v>-0.30006342999999802</v>
      </c>
      <c r="E24">
        <f t="shared" si="1"/>
        <v>-1.3659904256755904</v>
      </c>
      <c r="F24">
        <f t="shared" si="2"/>
        <v>1.3753842341529809</v>
      </c>
      <c r="G24">
        <f t="shared" si="3"/>
        <v>9.0038062023363716E-2</v>
      </c>
      <c r="M24" t="s">
        <v>127</v>
      </c>
      <c r="N24" t="s">
        <v>128</v>
      </c>
      <c r="O24" t="s">
        <v>129</v>
      </c>
      <c r="P24" t="s">
        <v>130</v>
      </c>
      <c r="Q24" t="s">
        <v>131</v>
      </c>
      <c r="W24">
        <v>18.713633618833597</v>
      </c>
      <c r="X24">
        <v>21.966730099999999</v>
      </c>
      <c r="Y24">
        <f t="shared" si="4"/>
        <v>-3.253096481166402</v>
      </c>
      <c r="Z24">
        <f t="shared" si="5"/>
        <v>-14.809197665547874</v>
      </c>
      <c r="AA24">
        <f t="shared" si="6"/>
        <v>15.993448355823482</v>
      </c>
      <c r="AB24">
        <f t="shared" si="7"/>
        <v>10.582636715777227</v>
      </c>
      <c r="AH24" s="1" t="s">
        <v>132</v>
      </c>
      <c r="AI24" s="1"/>
      <c r="AJ24" s="1"/>
      <c r="AK24" s="1"/>
      <c r="AL24" s="1"/>
      <c r="AM24" s="1"/>
      <c r="AN24" s="1"/>
      <c r="AO24" s="1"/>
    </row>
    <row r="25" spans="1:41" x14ac:dyDescent="0.25">
      <c r="A25" t="s">
        <v>69</v>
      </c>
      <c r="B25">
        <v>49.166666669999998</v>
      </c>
      <c r="C25">
        <v>39.05388868</v>
      </c>
      <c r="D25">
        <f t="shared" si="0"/>
        <v>10.112777989999998</v>
      </c>
      <c r="E25">
        <f t="shared" si="1"/>
        <v>25.89442007391925</v>
      </c>
      <c r="F25">
        <f t="shared" si="2"/>
        <v>22.926126342957776</v>
      </c>
      <c r="G25">
        <f t="shared" si="3"/>
        <v>102.2682786750284</v>
      </c>
      <c r="L25" t="s">
        <v>133</v>
      </c>
      <c r="M25">
        <v>1</v>
      </c>
      <c r="N25">
        <v>22832.364163198265</v>
      </c>
      <c r="O25">
        <v>22832.364163198265</v>
      </c>
      <c r="P25">
        <v>577.82335043991748</v>
      </c>
      <c r="Q25">
        <v>1.6167003833415811E-31</v>
      </c>
      <c r="W25">
        <v>38.479408170394279</v>
      </c>
      <c r="X25">
        <v>39.05388868</v>
      </c>
      <c r="Y25">
        <f t="shared" si="4"/>
        <v>-0.57448050960572061</v>
      </c>
      <c r="Z25">
        <f t="shared" si="5"/>
        <v>-1.4709943849968505</v>
      </c>
      <c r="AA25">
        <f t="shared" si="6"/>
        <v>1.4818936713454078</v>
      </c>
      <c r="AB25">
        <f t="shared" si="7"/>
        <v>0.33002785591684847</v>
      </c>
      <c r="AH25" s="1" t="s">
        <v>134</v>
      </c>
      <c r="AI25" s="1"/>
      <c r="AJ25" s="1"/>
      <c r="AK25" s="1"/>
      <c r="AL25" s="1"/>
      <c r="AM25" s="1"/>
      <c r="AN25" s="1"/>
      <c r="AO25" s="1"/>
    </row>
    <row r="26" spans="1:41" x14ac:dyDescent="0.25">
      <c r="A26" t="s">
        <v>65</v>
      </c>
      <c r="B26">
        <v>70.666666669999998</v>
      </c>
      <c r="C26">
        <v>48.898003610000004</v>
      </c>
      <c r="D26">
        <f t="shared" si="0"/>
        <v>21.768663059999994</v>
      </c>
      <c r="E26">
        <f t="shared" si="1"/>
        <v>44.518510885683973</v>
      </c>
      <c r="F26">
        <f t="shared" si="2"/>
        <v>36.413203012263587</v>
      </c>
      <c r="G26">
        <f t="shared" si="3"/>
        <v>473.8746914198083</v>
      </c>
      <c r="L26" t="s">
        <v>135</v>
      </c>
      <c r="M26">
        <v>57</v>
      </c>
      <c r="N26">
        <v>2252.3228878020677</v>
      </c>
      <c r="O26">
        <v>39.514436628106452</v>
      </c>
      <c r="W26">
        <v>53.932650092523545</v>
      </c>
      <c r="X26">
        <v>48.898003610000004</v>
      </c>
      <c r="Y26">
        <f t="shared" si="4"/>
        <v>5.0346464825235415</v>
      </c>
      <c r="Z26">
        <f t="shared" si="5"/>
        <v>10.296220930978702</v>
      </c>
      <c r="AA26">
        <f t="shared" si="6"/>
        <v>9.7921121790942909</v>
      </c>
      <c r="AB26">
        <f t="shared" si="7"/>
        <v>25.347665203986669</v>
      </c>
      <c r="AH26" s="1" t="s">
        <v>136</v>
      </c>
      <c r="AI26" s="1"/>
      <c r="AJ26" s="1"/>
      <c r="AK26" s="1"/>
      <c r="AL26" s="1"/>
      <c r="AM26" s="1"/>
      <c r="AN26" s="1"/>
      <c r="AO26" s="1"/>
    </row>
    <row r="27" spans="1:41" x14ac:dyDescent="0.25">
      <c r="A27" t="s">
        <v>68</v>
      </c>
      <c r="B27">
        <v>18.5</v>
      </c>
      <c r="C27">
        <v>21.899972829999999</v>
      </c>
      <c r="D27">
        <f t="shared" si="0"/>
        <v>-3.3999728299999994</v>
      </c>
      <c r="E27">
        <f t="shared" si="1"/>
        <v>-15.525009352260458</v>
      </c>
      <c r="F27">
        <f t="shared" si="2"/>
        <v>16.831559983007047</v>
      </c>
      <c r="G27">
        <f t="shared" si="3"/>
        <v>11.559815244738205</v>
      </c>
      <c r="L27" t="s">
        <v>137</v>
      </c>
      <c r="M27">
        <v>58</v>
      </c>
      <c r="N27">
        <v>25084.687051000332</v>
      </c>
      <c r="W27">
        <v>16.437574728682272</v>
      </c>
      <c r="X27">
        <v>21.899972829999999</v>
      </c>
      <c r="Y27">
        <f t="shared" si="4"/>
        <v>-5.4623981013177278</v>
      </c>
      <c r="Z27">
        <f t="shared" si="5"/>
        <v>-24.94248802827272</v>
      </c>
      <c r="AA27">
        <f t="shared" si="6"/>
        <v>28.496335572621483</v>
      </c>
      <c r="AB27">
        <f t="shared" si="7"/>
        <v>29.83779301727952</v>
      </c>
      <c r="AH27" s="1"/>
      <c r="AI27" s="1"/>
      <c r="AJ27" s="1"/>
      <c r="AK27" s="1"/>
      <c r="AL27" s="1"/>
      <c r="AM27" s="1"/>
      <c r="AN27" s="1"/>
      <c r="AO27" s="1"/>
    </row>
    <row r="28" spans="1:41" x14ac:dyDescent="0.25">
      <c r="A28" t="s">
        <v>69</v>
      </c>
      <c r="B28">
        <v>62.416666669999998</v>
      </c>
      <c r="C28">
        <v>39.10589117</v>
      </c>
      <c r="D28">
        <f t="shared" si="0"/>
        <v>23.310775499999998</v>
      </c>
      <c r="E28">
        <f t="shared" si="1"/>
        <v>59.60937035973447</v>
      </c>
      <c r="F28">
        <f t="shared" si="2"/>
        <v>45.922356559884719</v>
      </c>
      <c r="G28">
        <f t="shared" si="3"/>
        <v>543.39225441140013</v>
      </c>
      <c r="W28">
        <v>48.00291772705534</v>
      </c>
      <c r="X28">
        <v>39.10589117</v>
      </c>
      <c r="Y28">
        <f t="shared" si="4"/>
        <v>8.8970265570553408</v>
      </c>
      <c r="Z28">
        <f t="shared" si="5"/>
        <v>22.751115729286013</v>
      </c>
      <c r="AA28">
        <f t="shared" si="6"/>
        <v>20.427386551846421</v>
      </c>
      <c r="AB28">
        <f t="shared" si="7"/>
        <v>79.157081556948015</v>
      </c>
      <c r="AH28" s="1" t="s">
        <v>138</v>
      </c>
      <c r="AI28" s="1"/>
      <c r="AJ28" s="1"/>
      <c r="AK28" s="1"/>
      <c r="AL28" s="1"/>
      <c r="AM28" s="1"/>
      <c r="AN28" s="1"/>
      <c r="AO28" s="1"/>
    </row>
    <row r="29" spans="1:41" x14ac:dyDescent="0.25">
      <c r="A29" t="s">
        <v>65</v>
      </c>
      <c r="B29">
        <v>82</v>
      </c>
      <c r="C29">
        <v>49.773280470000003</v>
      </c>
      <c r="D29">
        <f t="shared" si="0"/>
        <v>32.226719529999997</v>
      </c>
      <c r="E29">
        <f t="shared" si="1"/>
        <v>64.747027372294866</v>
      </c>
      <c r="F29">
        <f t="shared" si="2"/>
        <v>48.912373456979921</v>
      </c>
      <c r="G29">
        <f t="shared" si="3"/>
        <v>1038.5614516652831</v>
      </c>
      <c r="M29" t="s">
        <v>139</v>
      </c>
      <c r="N29" t="s">
        <v>121</v>
      </c>
      <c r="O29" t="s">
        <v>140</v>
      </c>
      <c r="P29" t="s">
        <v>141</v>
      </c>
      <c r="Q29" t="s">
        <v>142</v>
      </c>
      <c r="R29" t="s">
        <v>143</v>
      </c>
      <c r="S29" t="s">
        <v>144</v>
      </c>
      <c r="T29" t="s">
        <v>145</v>
      </c>
      <c r="W29">
        <v>62.078545056831487</v>
      </c>
      <c r="X29">
        <v>49.773280470000003</v>
      </c>
      <c r="Y29">
        <f t="shared" si="4"/>
        <v>12.305264586831484</v>
      </c>
      <c r="Z29">
        <f t="shared" si="5"/>
        <v>24.722631240366553</v>
      </c>
      <c r="AA29">
        <f t="shared" si="6"/>
        <v>22.002796161569389</v>
      </c>
      <c r="AB29">
        <f t="shared" si="7"/>
        <v>151.41953655192901</v>
      </c>
      <c r="AH29" s="1" t="s">
        <v>146</v>
      </c>
      <c r="AI29" s="1"/>
      <c r="AJ29" s="1"/>
      <c r="AK29" s="1"/>
      <c r="AL29" s="1"/>
      <c r="AM29" s="1"/>
      <c r="AN29" s="1"/>
      <c r="AO29" s="1"/>
    </row>
    <row r="30" spans="1:41" x14ac:dyDescent="0.25">
      <c r="A30" t="s">
        <v>68</v>
      </c>
      <c r="B30">
        <v>17.333333329999999</v>
      </c>
      <c r="C30">
        <v>19.199586849999999</v>
      </c>
      <c r="D30">
        <f t="shared" si="0"/>
        <v>-1.8662535200000008</v>
      </c>
      <c r="E30">
        <f t="shared" si="1"/>
        <v>-9.7202795798702351</v>
      </c>
      <c r="F30">
        <f t="shared" si="2"/>
        <v>10.216831891920231</v>
      </c>
      <c r="G30">
        <f t="shared" si="3"/>
        <v>3.4829022009123931</v>
      </c>
      <c r="L30" t="s">
        <v>147</v>
      </c>
      <c r="M30">
        <v>3.1405991212687212</v>
      </c>
      <c r="N30">
        <v>1.4130495726784771</v>
      </c>
      <c r="O30">
        <v>2.2225682537914242</v>
      </c>
      <c r="P30">
        <v>3.0227797027906841E-2</v>
      </c>
      <c r="Q30">
        <v>0.31101615971415431</v>
      </c>
      <c r="R30">
        <v>5.9701820828232881</v>
      </c>
      <c r="S30">
        <v>0.31101615971415431</v>
      </c>
      <c r="T30">
        <v>5.9701820828232881</v>
      </c>
      <c r="W30">
        <v>15.599026715008089</v>
      </c>
      <c r="X30">
        <v>19.199586849999999</v>
      </c>
      <c r="Y30">
        <f t="shared" si="4"/>
        <v>-3.6005601349919107</v>
      </c>
      <c r="Z30">
        <f t="shared" si="5"/>
        <v>-18.753320908006472</v>
      </c>
      <c r="AA30">
        <f t="shared" si="6"/>
        <v>20.693698777772404</v>
      </c>
      <c r="AB30">
        <f t="shared" si="7"/>
        <v>12.964033285692967</v>
      </c>
      <c r="AH30" s="1" t="s">
        <v>148</v>
      </c>
      <c r="AI30" s="1"/>
      <c r="AJ30" s="1"/>
      <c r="AK30" s="1"/>
      <c r="AL30" s="1"/>
      <c r="AM30" s="1"/>
      <c r="AN30" s="1"/>
      <c r="AO30" s="1"/>
    </row>
    <row r="31" spans="1:41" x14ac:dyDescent="0.25">
      <c r="A31" t="s">
        <v>65</v>
      </c>
      <c r="B31">
        <v>37.083333330000002</v>
      </c>
      <c r="C31">
        <v>25.503985910000001</v>
      </c>
      <c r="D31">
        <f t="shared" si="0"/>
        <v>11.579347420000001</v>
      </c>
      <c r="E31">
        <f t="shared" si="1"/>
        <v>45.402108756105413</v>
      </c>
      <c r="F31">
        <f t="shared" si="2"/>
        <v>37.002215658406271</v>
      </c>
      <c r="G31">
        <f t="shared" si="3"/>
        <v>134.08128667306067</v>
      </c>
      <c r="L31" t="s">
        <v>102</v>
      </c>
      <c r="M31">
        <v>0.71875543823857035</v>
      </c>
      <c r="N31">
        <v>2.9900854494086287E-2</v>
      </c>
      <c r="O31">
        <v>24.037956453074742</v>
      </c>
      <c r="P31">
        <v>1.6167003833415811E-31</v>
      </c>
      <c r="Q31">
        <v>0.65888000991087625</v>
      </c>
      <c r="R31">
        <v>0.77863086656626446</v>
      </c>
      <c r="S31">
        <v>0.65888000991087625</v>
      </c>
      <c r="T31">
        <v>0.77863086656626446</v>
      </c>
      <c r="W31">
        <v>29.794446620219855</v>
      </c>
      <c r="X31">
        <v>25.503985910000001</v>
      </c>
      <c r="Y31">
        <f t="shared" si="4"/>
        <v>4.290460710219854</v>
      </c>
      <c r="Z31">
        <f t="shared" si="5"/>
        <v>16.822706557948589</v>
      </c>
      <c r="AA31">
        <f t="shared" si="6"/>
        <v>15.517476767086208</v>
      </c>
      <c r="AB31">
        <f t="shared" si="7"/>
        <v>18.408053105940255</v>
      </c>
      <c r="AH31" s="1" t="s">
        <v>149</v>
      </c>
      <c r="AI31" s="1"/>
      <c r="AJ31" s="1"/>
      <c r="AK31" s="1"/>
      <c r="AL31" s="1"/>
      <c r="AM31" s="1"/>
      <c r="AN31" s="1"/>
      <c r="AO31" s="1"/>
    </row>
    <row r="32" spans="1:41" x14ac:dyDescent="0.25">
      <c r="A32" t="s">
        <v>68</v>
      </c>
      <c r="B32">
        <v>23.583333329999999</v>
      </c>
      <c r="C32">
        <v>31.90385543</v>
      </c>
      <c r="D32">
        <f t="shared" si="0"/>
        <v>-8.3205221000000016</v>
      </c>
      <c r="E32">
        <f t="shared" si="1"/>
        <v>-26.079989355067113</v>
      </c>
      <c r="F32">
        <f t="shared" si="2"/>
        <v>29.99078629118857</v>
      </c>
      <c r="G32">
        <f t="shared" si="3"/>
        <v>69.23108801658843</v>
      </c>
      <c r="W32">
        <v>20.091248203999154</v>
      </c>
      <c r="X32">
        <v>31.90385543</v>
      </c>
      <c r="Y32">
        <f t="shared" si="4"/>
        <v>-11.812607226000846</v>
      </c>
      <c r="Z32">
        <f t="shared" si="5"/>
        <v>-37.025641781504419</v>
      </c>
      <c r="AA32">
        <f t="shared" si="6"/>
        <v>45.437383139579644</v>
      </c>
      <c r="AB32">
        <f t="shared" si="7"/>
        <v>139.53768947576742</v>
      </c>
      <c r="AH32" s="1" t="s">
        <v>150</v>
      </c>
      <c r="AI32" s="1"/>
      <c r="AJ32" s="1"/>
      <c r="AK32" s="1"/>
      <c r="AL32" s="1"/>
      <c r="AM32" s="1"/>
      <c r="AN32" s="1"/>
      <c r="AO32" s="1"/>
    </row>
    <row r="33" spans="1:41" x14ac:dyDescent="0.25">
      <c r="A33" t="s">
        <v>69</v>
      </c>
      <c r="B33">
        <v>71.25</v>
      </c>
      <c r="C33">
        <v>43.305376449999997</v>
      </c>
      <c r="D33">
        <f t="shared" si="0"/>
        <v>27.944623550000003</v>
      </c>
      <c r="E33">
        <f t="shared" si="1"/>
        <v>64.529224407654368</v>
      </c>
      <c r="F33">
        <f t="shared" si="2"/>
        <v>48.787973844592095</v>
      </c>
      <c r="G33">
        <f t="shared" si="3"/>
        <v>780.90198535121476</v>
      </c>
      <c r="W33">
        <v>54.351924095766861</v>
      </c>
      <c r="X33">
        <v>43.305376449999997</v>
      </c>
      <c r="Y33">
        <f t="shared" si="4"/>
        <v>11.046547645766864</v>
      </c>
      <c r="Z33">
        <f t="shared" si="5"/>
        <v>25.508490056704876</v>
      </c>
      <c r="AA33">
        <f t="shared" si="6"/>
        <v>22.623086208675051</v>
      </c>
      <c r="AB33">
        <f t="shared" si="7"/>
        <v>122.02621489019745</v>
      </c>
      <c r="AH33" s="1" t="s">
        <v>151</v>
      </c>
      <c r="AI33" s="1"/>
      <c r="AJ33" s="1"/>
      <c r="AK33" s="1"/>
      <c r="AL33" s="1"/>
      <c r="AM33" s="1"/>
      <c r="AN33" s="1"/>
      <c r="AO33" s="1"/>
    </row>
    <row r="34" spans="1:41" x14ac:dyDescent="0.25">
      <c r="A34" t="s">
        <v>65</v>
      </c>
      <c r="B34">
        <v>33.083333330000002</v>
      </c>
      <c r="C34">
        <v>24.840384539999999</v>
      </c>
      <c r="D34">
        <f t="shared" si="0"/>
        <v>8.2429487900000034</v>
      </c>
      <c r="E34">
        <f t="shared" si="1"/>
        <v>33.183660167283399</v>
      </c>
      <c r="F34">
        <f t="shared" si="2"/>
        <v>28.461394030334546</v>
      </c>
      <c r="G34">
        <f t="shared" si="3"/>
        <v>67.946204754562515</v>
      </c>
      <c r="W34">
        <v>26.919424867265572</v>
      </c>
      <c r="X34">
        <v>24.840384539999999</v>
      </c>
      <c r="Y34">
        <f t="shared" si="4"/>
        <v>2.0790403272655738</v>
      </c>
      <c r="Z34">
        <f t="shared" si="5"/>
        <v>8.3695979984437638</v>
      </c>
      <c r="AA34">
        <f t="shared" si="6"/>
        <v>8.0334156986819849</v>
      </c>
      <c r="AB34">
        <f t="shared" si="7"/>
        <v>4.322408682396544</v>
      </c>
      <c r="AH34" s="1"/>
      <c r="AI34" s="1"/>
      <c r="AJ34" s="1"/>
      <c r="AK34" s="1"/>
      <c r="AL34" s="1"/>
      <c r="AM34" s="1"/>
      <c r="AN34" s="1"/>
      <c r="AO34" s="1"/>
    </row>
    <row r="35" spans="1:41" x14ac:dyDescent="0.25">
      <c r="A35" t="s">
        <v>68</v>
      </c>
      <c r="B35">
        <v>15.5</v>
      </c>
      <c r="C35">
        <v>27.838234790000001</v>
      </c>
      <c r="D35">
        <f t="shared" si="0"/>
        <v>-12.338234790000001</v>
      </c>
      <c r="E35">
        <f t="shared" si="1"/>
        <v>-44.321182298642434</v>
      </c>
      <c r="F35">
        <f t="shared" si="2"/>
        <v>56.939258600569318</v>
      </c>
      <c r="G35">
        <f t="shared" si="3"/>
        <v>152.23203773316638</v>
      </c>
      <c r="L35" t="s">
        <v>152</v>
      </c>
      <c r="W35">
        <v>14.281308413966562</v>
      </c>
      <c r="X35">
        <v>27.838234790000001</v>
      </c>
      <c r="Y35">
        <f t="shared" si="4"/>
        <v>-13.55692637603344</v>
      </c>
      <c r="Z35">
        <f t="shared" si="5"/>
        <v>-48.698944018186573</v>
      </c>
      <c r="AA35">
        <f t="shared" si="6"/>
        <v>64.373567920160781</v>
      </c>
      <c r="AB35">
        <f t="shared" si="7"/>
        <v>183.79025276519118</v>
      </c>
      <c r="AH35" s="1" t="s">
        <v>153</v>
      </c>
      <c r="AI35" s="1"/>
      <c r="AJ35" s="1"/>
      <c r="AK35" s="1"/>
      <c r="AL35" s="1"/>
      <c r="AM35" s="1"/>
      <c r="AN35" s="1"/>
      <c r="AO35" s="1"/>
    </row>
    <row r="36" spans="1:41" x14ac:dyDescent="0.25">
      <c r="A36" t="s">
        <v>69</v>
      </c>
      <c r="B36">
        <v>60.75</v>
      </c>
      <c r="C36">
        <v>39.331473699999997</v>
      </c>
      <c r="D36">
        <f t="shared" si="0"/>
        <v>21.418526300000003</v>
      </c>
      <c r="E36">
        <f t="shared" si="1"/>
        <v>54.456455060314724</v>
      </c>
      <c r="F36">
        <f t="shared" si="2"/>
        <v>42.802180080207997</v>
      </c>
      <c r="G36">
        <f t="shared" si="3"/>
        <v>458.75326886379185</v>
      </c>
      <c r="W36">
        <v>46.804991994261869</v>
      </c>
      <c r="X36">
        <v>39.331473699999997</v>
      </c>
      <c r="Y36">
        <f t="shared" si="4"/>
        <v>7.4735182942618721</v>
      </c>
      <c r="Z36">
        <f t="shared" si="5"/>
        <v>19.001368601812327</v>
      </c>
      <c r="AA36">
        <f t="shared" si="6"/>
        <v>17.35273959530414</v>
      </c>
      <c r="AB36">
        <f t="shared" si="7"/>
        <v>55.853475694666884</v>
      </c>
      <c r="AH36" s="1" t="s">
        <v>154</v>
      </c>
      <c r="AI36" s="1"/>
      <c r="AJ36" s="1"/>
      <c r="AK36" s="1"/>
      <c r="AL36" s="1"/>
      <c r="AM36" s="1"/>
      <c r="AN36" s="1"/>
      <c r="AO36" s="1"/>
    </row>
    <row r="37" spans="1:41" x14ac:dyDescent="0.25">
      <c r="A37" t="s">
        <v>65</v>
      </c>
      <c r="B37">
        <v>24.166666670000001</v>
      </c>
      <c r="C37">
        <v>19.880305809999999</v>
      </c>
      <c r="D37">
        <f t="shared" si="0"/>
        <v>4.286360860000002</v>
      </c>
      <c r="E37">
        <f t="shared" si="1"/>
        <v>21.560839661952876</v>
      </c>
      <c r="F37">
        <f t="shared" si="2"/>
        <v>19.462680945648511</v>
      </c>
      <c r="G37">
        <f t="shared" si="3"/>
        <v>18.372889422139956</v>
      </c>
      <c r="L37" t="s">
        <v>155</v>
      </c>
      <c r="M37" t="s">
        <v>156</v>
      </c>
      <c r="N37" t="s">
        <v>157</v>
      </c>
      <c r="W37">
        <v>20.510522214430026</v>
      </c>
      <c r="X37">
        <v>19.880305809999999</v>
      </c>
      <c r="Y37">
        <f t="shared" si="4"/>
        <v>0.63021640443002624</v>
      </c>
      <c r="Z37">
        <f t="shared" si="5"/>
        <v>3.1700538736834769</v>
      </c>
      <c r="AA37">
        <f t="shared" si="6"/>
        <v>3.120591655357229</v>
      </c>
      <c r="AB37">
        <f t="shared" si="7"/>
        <v>0.3971727164127104</v>
      </c>
      <c r="AH37" s="1" t="s">
        <v>158</v>
      </c>
      <c r="AI37" s="1"/>
      <c r="AJ37" s="1"/>
      <c r="AK37" s="1"/>
      <c r="AL37" s="1"/>
      <c r="AM37" s="1"/>
      <c r="AN37" s="1"/>
      <c r="AO37" s="1"/>
    </row>
    <row r="38" spans="1:41" x14ac:dyDescent="0.25">
      <c r="A38" t="s">
        <v>68</v>
      </c>
      <c r="B38">
        <v>9.3333333330000006</v>
      </c>
      <c r="C38">
        <v>14.81820609</v>
      </c>
      <c r="D38">
        <f t="shared" si="0"/>
        <v>-5.4848727569999998</v>
      </c>
      <c r="E38">
        <f t="shared" si="1"/>
        <v>-37.014418099512334</v>
      </c>
      <c r="F38">
        <f t="shared" si="2"/>
        <v>45.420481576231481</v>
      </c>
      <c r="G38">
        <f t="shared" si="3"/>
        <v>30.083829160480779</v>
      </c>
      <c r="L38">
        <v>1</v>
      </c>
      <c r="M38">
        <v>12.724004962053808</v>
      </c>
      <c r="N38">
        <v>-2.6891036520538076</v>
      </c>
      <c r="W38">
        <v>9.848983211255792</v>
      </c>
      <c r="X38">
        <v>14.81820609</v>
      </c>
      <c r="Y38">
        <f t="shared" si="4"/>
        <v>-4.9692228787442083</v>
      </c>
      <c r="Z38">
        <f t="shared" si="5"/>
        <v>-33.534577995224844</v>
      </c>
      <c r="AA38">
        <f t="shared" si="6"/>
        <v>40.290142651082085</v>
      </c>
      <c r="AB38">
        <f t="shared" si="7"/>
        <v>24.693176018634876</v>
      </c>
      <c r="AH38" s="1" t="s">
        <v>159</v>
      </c>
      <c r="AI38" s="1"/>
      <c r="AJ38" s="1"/>
      <c r="AK38" s="1"/>
      <c r="AL38" s="1"/>
      <c r="AM38" s="1"/>
      <c r="AN38" s="1"/>
      <c r="AO38" s="1"/>
    </row>
    <row r="39" spans="1:41" x14ac:dyDescent="0.25">
      <c r="A39" t="s">
        <v>69</v>
      </c>
      <c r="B39">
        <v>36.666666669999998</v>
      </c>
      <c r="C39">
        <v>33.089184199999998</v>
      </c>
      <c r="D39">
        <f t="shared" si="0"/>
        <v>3.5774824699999996</v>
      </c>
      <c r="E39">
        <f t="shared" si="1"/>
        <v>10.811636963839078</v>
      </c>
      <c r="F39">
        <f t="shared" si="2"/>
        <v>10.257153845538062</v>
      </c>
      <c r="G39">
        <f t="shared" si="3"/>
        <v>12.798380823157299</v>
      </c>
      <c r="L39">
        <v>2</v>
      </c>
      <c r="M39">
        <v>12.84379753748942</v>
      </c>
      <c r="N39">
        <v>-3.3994490604894203</v>
      </c>
      <c r="W39">
        <v>29.494965192412153</v>
      </c>
      <c r="X39">
        <v>33.089184199999998</v>
      </c>
      <c r="Y39">
        <f t="shared" si="4"/>
        <v>-3.5942190075878457</v>
      </c>
      <c r="Z39">
        <f t="shared" si="5"/>
        <v>-10.86221704912219</v>
      </c>
      <c r="AA39">
        <f t="shared" si="6"/>
        <v>11.486036136886819</v>
      </c>
      <c r="AB39">
        <f t="shared" si="7"/>
        <v>12.918410274505758</v>
      </c>
      <c r="AH39" s="1" t="s">
        <v>160</v>
      </c>
      <c r="AI39" s="1"/>
      <c r="AJ39" s="1"/>
      <c r="AK39" s="1"/>
      <c r="AL39" s="1"/>
      <c r="AM39" s="1"/>
      <c r="AN39" s="1"/>
      <c r="AO39" s="1"/>
    </row>
    <row r="40" spans="1:41" x14ac:dyDescent="0.25">
      <c r="A40" t="s">
        <v>65</v>
      </c>
      <c r="B40">
        <v>55.5</v>
      </c>
      <c r="C40">
        <v>40.040129280000002</v>
      </c>
      <c r="D40">
        <f t="shared" si="0"/>
        <v>15.459870719999998</v>
      </c>
      <c r="E40">
        <f t="shared" si="1"/>
        <v>38.610941068370089</v>
      </c>
      <c r="F40">
        <f t="shared" si="2"/>
        <v>32.363093574411366</v>
      </c>
      <c r="G40">
        <f t="shared" si="3"/>
        <v>239.00760267911326</v>
      </c>
      <c r="L40">
        <v>3</v>
      </c>
      <c r="M40">
        <v>53.15399836297339</v>
      </c>
      <c r="N40">
        <v>-3.8197731829733925</v>
      </c>
      <c r="W40">
        <v>43.031525943509379</v>
      </c>
      <c r="X40">
        <v>40.040129280000002</v>
      </c>
      <c r="Y40">
        <f t="shared" si="4"/>
        <v>2.9913966635093772</v>
      </c>
      <c r="Z40">
        <f t="shared" si="5"/>
        <v>7.4709965159967053</v>
      </c>
      <c r="AA40">
        <f t="shared" si="6"/>
        <v>7.201967158258352</v>
      </c>
      <c r="AB40">
        <f t="shared" si="7"/>
        <v>8.9484539984550331</v>
      </c>
      <c r="AH40" s="1" t="s">
        <v>161</v>
      </c>
      <c r="AI40" s="1"/>
      <c r="AJ40" s="1"/>
      <c r="AK40" s="1"/>
      <c r="AL40" s="1"/>
      <c r="AM40" s="1"/>
      <c r="AN40" s="1"/>
      <c r="AO40" s="1"/>
    </row>
    <row r="41" spans="1:41" x14ac:dyDescent="0.25">
      <c r="A41" t="s">
        <v>68</v>
      </c>
      <c r="B41">
        <v>6.25</v>
      </c>
      <c r="C41">
        <v>11.06590353</v>
      </c>
      <c r="D41">
        <f t="shared" si="0"/>
        <v>-4.8159035299999999</v>
      </c>
      <c r="E41">
        <f t="shared" si="1"/>
        <v>-43.520201644121869</v>
      </c>
      <c r="F41">
        <f t="shared" si="2"/>
        <v>55.624051285067424</v>
      </c>
      <c r="G41">
        <f t="shared" si="3"/>
        <v>23.19292681026646</v>
      </c>
      <c r="L41">
        <v>4</v>
      </c>
      <c r="M41">
        <v>20.630314782678081</v>
      </c>
      <c r="N41">
        <v>-5.6958410126780805</v>
      </c>
      <c r="W41">
        <v>7.6328206102597855</v>
      </c>
      <c r="X41">
        <v>11.06590353</v>
      </c>
      <c r="Y41">
        <f t="shared" si="4"/>
        <v>-3.4330829197402144</v>
      </c>
      <c r="Z41">
        <f t="shared" si="5"/>
        <v>-31.023972967349867</v>
      </c>
      <c r="AA41">
        <f t="shared" si="6"/>
        <v>36.719969704762093</v>
      </c>
      <c r="AB41">
        <f t="shared" si="7"/>
        <v>11.786058333811996</v>
      </c>
      <c r="AH41" s="1"/>
      <c r="AI41" s="1"/>
      <c r="AJ41" s="1"/>
      <c r="AK41" s="1"/>
      <c r="AL41" s="1"/>
      <c r="AM41" s="1"/>
      <c r="AN41" s="1"/>
      <c r="AO41" s="1"/>
    </row>
    <row r="42" spans="1:41" x14ac:dyDescent="0.25">
      <c r="A42" t="s">
        <v>65</v>
      </c>
      <c r="B42">
        <v>27.916666670000001</v>
      </c>
      <c r="C42">
        <v>24.968391090000001</v>
      </c>
      <c r="D42">
        <f t="shared" si="0"/>
        <v>2.9482755800000007</v>
      </c>
      <c r="E42">
        <f t="shared" si="1"/>
        <v>11.808031880679744</v>
      </c>
      <c r="F42">
        <f t="shared" si="2"/>
        <v>11.149748926737301</v>
      </c>
      <c r="G42">
        <f t="shared" si="3"/>
        <v>8.6923288956243407</v>
      </c>
      <c r="L42">
        <v>5</v>
      </c>
      <c r="M42">
        <v>40.875259628793664</v>
      </c>
      <c r="N42">
        <v>13.052078811206336</v>
      </c>
      <c r="W42">
        <v>23.205855107824664</v>
      </c>
      <c r="X42">
        <v>24.968391090000001</v>
      </c>
      <c r="Y42">
        <f t="shared" si="4"/>
        <v>-1.7625359821753364</v>
      </c>
      <c r="Z42">
        <f t="shared" si="5"/>
        <v>-7.0590691079059686</v>
      </c>
      <c r="AA42">
        <f t="shared" si="6"/>
        <v>7.3173370474240009</v>
      </c>
      <c r="AB42">
        <f t="shared" si="7"/>
        <v>3.1065330884627778</v>
      </c>
      <c r="AH42" s="1" t="s">
        <v>162</v>
      </c>
      <c r="AI42" s="1"/>
      <c r="AJ42" s="1"/>
      <c r="AK42" s="1"/>
      <c r="AL42" s="1"/>
      <c r="AM42" s="1"/>
      <c r="AN42" s="1"/>
      <c r="AO42" s="1"/>
    </row>
    <row r="43" spans="1:41" x14ac:dyDescent="0.25">
      <c r="A43" t="s">
        <v>68</v>
      </c>
      <c r="B43">
        <v>2.0833333330000001</v>
      </c>
      <c r="C43">
        <v>1.2646803010000001</v>
      </c>
      <c r="D43">
        <f t="shared" si="0"/>
        <v>0.81865303200000006</v>
      </c>
      <c r="E43">
        <f t="shared" si="1"/>
        <v>64.732014197792111</v>
      </c>
      <c r="F43">
        <f t="shared" si="2"/>
        <v>48.903805150991815</v>
      </c>
      <c r="G43">
        <f t="shared" si="3"/>
        <v>0.67019278680279315</v>
      </c>
      <c r="L43">
        <v>6</v>
      </c>
      <c r="M43">
        <v>6.4947911666216349</v>
      </c>
      <c r="N43">
        <v>9.9127758733783651</v>
      </c>
      <c r="W43">
        <v>19.312596481636554</v>
      </c>
      <c r="X43">
        <v>19.932054040000001</v>
      </c>
      <c r="Y43">
        <f t="shared" si="4"/>
        <v>-0.61945755836344674</v>
      </c>
      <c r="Z43">
        <f t="shared" si="5"/>
        <v>-3.1078460710587494</v>
      </c>
      <c r="AA43">
        <f t="shared" si="6"/>
        <v>3.1569018968428537</v>
      </c>
      <c r="AB43">
        <f t="shared" si="7"/>
        <v>0.38372766661360302</v>
      </c>
      <c r="AH43" s="1" t="s">
        <v>163</v>
      </c>
      <c r="AI43" s="1"/>
      <c r="AJ43" s="1"/>
      <c r="AK43" s="1"/>
      <c r="AL43" s="1"/>
      <c r="AM43" s="1"/>
      <c r="AN43" s="1"/>
      <c r="AO43" s="1"/>
    </row>
    <row r="44" spans="1:41" x14ac:dyDescent="0.25">
      <c r="A44" t="s">
        <v>65</v>
      </c>
      <c r="B44">
        <v>22.5</v>
      </c>
      <c r="C44">
        <v>19.932054040000001</v>
      </c>
      <c r="D44">
        <f t="shared" si="0"/>
        <v>2.5679459599999994</v>
      </c>
      <c r="E44">
        <f t="shared" si="1"/>
        <v>12.883498884994992</v>
      </c>
      <c r="F44">
        <f t="shared" si="2"/>
        <v>12.103802269761625</v>
      </c>
      <c r="G44">
        <f t="shared" si="3"/>
        <v>6.5943464534803189</v>
      </c>
      <c r="L44">
        <v>7</v>
      </c>
      <c r="M44">
        <v>40.515881909674377</v>
      </c>
      <c r="N44">
        <v>-0.18936615967437831</v>
      </c>
      <c r="W44">
        <v>33.028846092293421</v>
      </c>
      <c r="X44">
        <v>34.782714630000001</v>
      </c>
      <c r="Y44">
        <f t="shared" si="4"/>
        <v>-1.7538685377065804</v>
      </c>
      <c r="Z44">
        <f t="shared" si="5"/>
        <v>-5.0423566888418572</v>
      </c>
      <c r="AA44">
        <f t="shared" si="6"/>
        <v>5.1727714832848148</v>
      </c>
      <c r="AB44">
        <f t="shared" si="7"/>
        <v>3.0760548475570184</v>
      </c>
      <c r="AH44" s="1" t="s">
        <v>164</v>
      </c>
      <c r="AI44" s="1"/>
      <c r="AJ44" s="1"/>
      <c r="AK44" s="1"/>
      <c r="AL44" s="1"/>
      <c r="AM44" s="1"/>
      <c r="AN44" s="1"/>
      <c r="AO44" s="1"/>
    </row>
    <row r="45" spans="1:41" x14ac:dyDescent="0.25">
      <c r="A45" t="s">
        <v>65</v>
      </c>
      <c r="B45">
        <v>41.583333330000002</v>
      </c>
      <c r="C45">
        <v>34.782714630000001</v>
      </c>
      <c r="D45">
        <f t="shared" si="0"/>
        <v>6.8006187000000011</v>
      </c>
      <c r="E45">
        <f t="shared" si="1"/>
        <v>19.551719215539563</v>
      </c>
      <c r="F45">
        <f t="shared" si="2"/>
        <v>17.810581748480995</v>
      </c>
      <c r="G45">
        <f t="shared" si="3"/>
        <v>46.248414702789702</v>
      </c>
      <c r="L45">
        <v>8</v>
      </c>
      <c r="M45">
        <v>12.184938383374881</v>
      </c>
      <c r="N45">
        <v>3.4098221166251186</v>
      </c>
      <c r="W45">
        <v>34.106979249651275</v>
      </c>
      <c r="X45">
        <v>42.454850020000002</v>
      </c>
      <c r="Y45">
        <f t="shared" si="4"/>
        <v>-8.3478707703487274</v>
      </c>
      <c r="Z45">
        <f t="shared" si="5"/>
        <v>-19.662937842004247</v>
      </c>
      <c r="AA45">
        <f t="shared" si="6"/>
        <v>21.806873869085525</v>
      </c>
      <c r="AB45">
        <f t="shared" si="7"/>
        <v>69.686946398442657</v>
      </c>
      <c r="AH45" s="1" t="s">
        <v>165</v>
      </c>
      <c r="AI45" s="1"/>
      <c r="AJ45" s="1"/>
      <c r="AK45" s="1"/>
      <c r="AL45" s="1"/>
      <c r="AM45" s="1"/>
      <c r="AN45" s="1"/>
      <c r="AO45" s="1"/>
    </row>
    <row r="46" spans="1:41" x14ac:dyDescent="0.25">
      <c r="A46" t="s">
        <v>65</v>
      </c>
      <c r="B46">
        <v>43.083333330000002</v>
      </c>
      <c r="C46">
        <v>42.454850020000002</v>
      </c>
      <c r="D46">
        <f t="shared" si="0"/>
        <v>0.62848331000000002</v>
      </c>
      <c r="E46">
        <f t="shared" si="1"/>
        <v>1.4803569196544768</v>
      </c>
      <c r="F46">
        <f t="shared" si="2"/>
        <v>1.4694801441559959</v>
      </c>
      <c r="G46">
        <f t="shared" si="3"/>
        <v>0.39499127094855613</v>
      </c>
      <c r="L46">
        <v>9</v>
      </c>
      <c r="M46">
        <v>40.515881909674377</v>
      </c>
      <c r="N46">
        <v>-5.4446528396743759</v>
      </c>
      <c r="W46">
        <v>22.427203378274505</v>
      </c>
      <c r="X46">
        <v>19.898519759999999</v>
      </c>
      <c r="Y46">
        <f t="shared" si="4"/>
        <v>2.5286836182745063</v>
      </c>
      <c r="Z46">
        <f t="shared" si="5"/>
        <v>12.707898118922722</v>
      </c>
      <c r="AA46">
        <f t="shared" si="6"/>
        <v>11.948684775041002</v>
      </c>
      <c r="AB46">
        <f t="shared" si="7"/>
        <v>6.3942408413298493</v>
      </c>
      <c r="AH46" s="1" t="s">
        <v>166</v>
      </c>
      <c r="AI46" s="1"/>
      <c r="AJ46" s="1"/>
      <c r="AK46" s="1"/>
      <c r="AL46" s="1"/>
      <c r="AM46" s="1"/>
      <c r="AN46" s="1"/>
      <c r="AO46" s="1"/>
    </row>
    <row r="47" spans="1:41" x14ac:dyDescent="0.25">
      <c r="A47" t="s">
        <v>68</v>
      </c>
      <c r="B47">
        <v>2.5833333330000001</v>
      </c>
      <c r="C47">
        <v>1.3349957130000001</v>
      </c>
      <c r="D47">
        <f t="shared" si="0"/>
        <v>1.24833762</v>
      </c>
      <c r="E47">
        <f t="shared" si="1"/>
        <v>93.508736233672082</v>
      </c>
      <c r="F47">
        <f t="shared" si="2"/>
        <v>63.717855511616982</v>
      </c>
      <c r="G47">
        <f t="shared" si="3"/>
        <v>1.5583468135072645</v>
      </c>
      <c r="L47">
        <v>10</v>
      </c>
      <c r="M47">
        <v>11.106805226017025</v>
      </c>
      <c r="N47">
        <v>0.39499085398297495</v>
      </c>
      <c r="W47">
        <v>8.7708500538979379</v>
      </c>
      <c r="X47">
        <v>4.6148155510000004</v>
      </c>
      <c r="Y47">
        <f t="shared" si="4"/>
        <v>4.1560345028979375</v>
      </c>
      <c r="Z47">
        <f t="shared" si="5"/>
        <v>90.058518200090404</v>
      </c>
      <c r="AA47">
        <f t="shared" si="6"/>
        <v>62.096792577534679</v>
      </c>
      <c r="AB47">
        <f t="shared" si="7"/>
        <v>17.272622789278106</v>
      </c>
      <c r="AH47" s="1" t="s">
        <v>167</v>
      </c>
      <c r="AI47" s="1"/>
      <c r="AJ47" s="1"/>
      <c r="AK47" s="1"/>
      <c r="AL47" s="1"/>
      <c r="AM47" s="1"/>
      <c r="AN47" s="1"/>
      <c r="AO47" s="1"/>
    </row>
    <row r="48" spans="1:41" x14ac:dyDescent="0.25">
      <c r="A48" t="s">
        <v>65</v>
      </c>
      <c r="B48">
        <v>26.833333329999999</v>
      </c>
      <c r="C48">
        <v>19.898519759999999</v>
      </c>
      <c r="D48">
        <f t="shared" si="0"/>
        <v>6.9348135699999993</v>
      </c>
      <c r="E48">
        <f t="shared" si="1"/>
        <v>34.850901743658142</v>
      </c>
      <c r="F48">
        <f t="shared" si="2"/>
        <v>29.679172176820686</v>
      </c>
      <c r="G48">
        <f t="shared" si="3"/>
        <v>48.091639250656137</v>
      </c>
      <c r="L48">
        <v>11</v>
      </c>
      <c r="M48">
        <v>45.547169977344375</v>
      </c>
      <c r="N48">
        <v>-0.81796465734437618</v>
      </c>
      <c r="W48">
        <v>46.086236556023302</v>
      </c>
      <c r="X48">
        <v>39.644865289999998</v>
      </c>
      <c r="Y48">
        <f t="shared" si="4"/>
        <v>6.4413712660233031</v>
      </c>
      <c r="Z48">
        <f t="shared" si="5"/>
        <v>16.247681052527302</v>
      </c>
      <c r="AA48">
        <f t="shared" si="6"/>
        <v>15.026918183303604</v>
      </c>
      <c r="AB48">
        <f t="shared" si="7"/>
        <v>41.49126378675065</v>
      </c>
      <c r="AH48" s="1"/>
      <c r="AI48" s="1"/>
      <c r="AJ48" s="1"/>
      <c r="AK48" s="1"/>
      <c r="AL48" s="1"/>
      <c r="AM48" s="1"/>
      <c r="AN48" s="1"/>
      <c r="AO48" s="1"/>
    </row>
    <row r="49" spans="1:41" x14ac:dyDescent="0.25">
      <c r="A49" t="s">
        <v>68</v>
      </c>
      <c r="B49">
        <v>7.8333333329999997</v>
      </c>
      <c r="C49">
        <v>4.6148155510000004</v>
      </c>
      <c r="D49">
        <f t="shared" si="0"/>
        <v>3.2185177819999993</v>
      </c>
      <c r="E49">
        <f t="shared" si="1"/>
        <v>69.743151084393119</v>
      </c>
      <c r="F49">
        <f t="shared" si="2"/>
        <v>51.710785466855434</v>
      </c>
      <c r="G49">
        <f t="shared" si="3"/>
        <v>10.358856713050194</v>
      </c>
      <c r="L49">
        <v>12</v>
      </c>
      <c r="M49">
        <v>18.713633618833597</v>
      </c>
      <c r="N49">
        <v>3.253096481166402</v>
      </c>
      <c r="W49">
        <v>50.877939480009616</v>
      </c>
      <c r="X49">
        <v>45.51094217</v>
      </c>
      <c r="Y49">
        <f t="shared" si="4"/>
        <v>5.3669973100096158</v>
      </c>
      <c r="Z49">
        <f t="shared" si="5"/>
        <v>11.792762474487827</v>
      </c>
      <c r="AA49">
        <f t="shared" si="6"/>
        <v>11.136133583326165</v>
      </c>
      <c r="AB49">
        <f t="shared" si="7"/>
        <v>28.80466012565045</v>
      </c>
      <c r="AH49" s="1" t="s">
        <v>168</v>
      </c>
      <c r="AI49" s="1"/>
      <c r="AJ49" s="1"/>
      <c r="AK49" s="1"/>
      <c r="AL49" s="1"/>
      <c r="AM49" s="1"/>
      <c r="AN49" s="1"/>
      <c r="AO49" s="1"/>
    </row>
    <row r="50" spans="1:41" x14ac:dyDescent="0.25">
      <c r="A50" t="s">
        <v>69</v>
      </c>
      <c r="B50">
        <v>59.75</v>
      </c>
      <c r="C50">
        <v>39.644865289999998</v>
      </c>
      <c r="D50">
        <f t="shared" si="0"/>
        <v>20.105134710000002</v>
      </c>
      <c r="E50">
        <f t="shared" si="1"/>
        <v>50.713086204057078</v>
      </c>
      <c r="F50">
        <f t="shared" si="2"/>
        <v>40.455077133693258</v>
      </c>
      <c r="G50">
        <f t="shared" si="3"/>
        <v>404.21644170724687</v>
      </c>
      <c r="L50">
        <v>13</v>
      </c>
      <c r="M50">
        <v>38.479408170394279</v>
      </c>
      <c r="N50">
        <v>0.57448050960572061</v>
      </c>
      <c r="W50">
        <v>63.755641076992305</v>
      </c>
      <c r="X50">
        <v>60.694704010000002</v>
      </c>
      <c r="Y50">
        <f t="shared" si="4"/>
        <v>3.0609370669923024</v>
      </c>
      <c r="Z50">
        <f t="shared" si="5"/>
        <v>5.04316993866217</v>
      </c>
      <c r="AA50">
        <f t="shared" si="6"/>
        <v>4.9191298985192367</v>
      </c>
      <c r="AB50">
        <f t="shared" si="7"/>
        <v>9.3693357280874388</v>
      </c>
      <c r="AH50" s="1" t="s">
        <v>169</v>
      </c>
      <c r="AI50" s="1"/>
      <c r="AJ50" s="1"/>
      <c r="AK50" s="1"/>
      <c r="AL50" s="1"/>
      <c r="AM50" s="1"/>
      <c r="AN50" s="1"/>
      <c r="AO50" s="1"/>
    </row>
    <row r="51" spans="1:41" x14ac:dyDescent="0.25">
      <c r="A51" t="s">
        <v>65</v>
      </c>
      <c r="B51">
        <v>66.416666669999998</v>
      </c>
      <c r="C51">
        <v>45.51094217</v>
      </c>
      <c r="D51">
        <f t="shared" si="0"/>
        <v>20.905724499999998</v>
      </c>
      <c r="E51">
        <f t="shared" si="1"/>
        <v>45.935600326421451</v>
      </c>
      <c r="F51">
        <f t="shared" si="2"/>
        <v>37.355795798129904</v>
      </c>
      <c r="G51">
        <f t="shared" si="3"/>
        <v>437.04931686990017</v>
      </c>
      <c r="L51">
        <v>14</v>
      </c>
      <c r="M51">
        <v>53.932650092523545</v>
      </c>
      <c r="N51">
        <v>-5.0346464825235415</v>
      </c>
      <c r="W51">
        <v>6.0755171605032983</v>
      </c>
      <c r="X51">
        <v>4.7991998459999996</v>
      </c>
      <c r="Y51">
        <f t="shared" si="4"/>
        <v>1.2763173145032987</v>
      </c>
      <c r="Z51">
        <f t="shared" si="5"/>
        <v>26.594377301605267</v>
      </c>
      <c r="AA51">
        <f t="shared" si="6"/>
        <v>23.473113162209838</v>
      </c>
      <c r="AB51">
        <f t="shared" si="7"/>
        <v>1.6289858873009122</v>
      </c>
      <c r="AH51" s="1" t="s">
        <v>168</v>
      </c>
      <c r="AI51" s="1"/>
      <c r="AJ51" s="1"/>
      <c r="AK51" s="1"/>
      <c r="AL51" s="1"/>
      <c r="AM51" s="1"/>
      <c r="AN51" s="1"/>
      <c r="AO51" s="1"/>
    </row>
    <row r="52" spans="1:41" x14ac:dyDescent="0.25">
      <c r="A52" t="s">
        <v>65</v>
      </c>
      <c r="B52">
        <v>84.333333330000002</v>
      </c>
      <c r="C52">
        <v>60.694704010000002</v>
      </c>
      <c r="D52">
        <f t="shared" si="0"/>
        <v>23.63862932</v>
      </c>
      <c r="E52">
        <f t="shared" si="1"/>
        <v>38.946774196485613</v>
      </c>
      <c r="F52">
        <f t="shared" si="2"/>
        <v>32.598702642003225</v>
      </c>
      <c r="G52">
        <f t="shared" si="3"/>
        <v>558.78479612836361</v>
      </c>
      <c r="L52">
        <v>15</v>
      </c>
      <c r="M52">
        <v>16.437574728682272</v>
      </c>
      <c r="N52">
        <v>5.4623981013177278</v>
      </c>
      <c r="W52">
        <v>40.575778193798413</v>
      </c>
      <c r="X52">
        <v>34.797234420000002</v>
      </c>
      <c r="Y52">
        <f t="shared" si="4"/>
        <v>5.7785437737984111</v>
      </c>
      <c r="Z52">
        <f t="shared" si="5"/>
        <v>16.606330560790614</v>
      </c>
      <c r="AA52">
        <f t="shared" si="6"/>
        <v>15.333190417654988</v>
      </c>
      <c r="AB52">
        <f t="shared" si="7"/>
        <v>33.391568145704383</v>
      </c>
      <c r="AH52" s="1" t="s">
        <v>170</v>
      </c>
      <c r="AI52" s="1"/>
      <c r="AJ52" s="1"/>
      <c r="AK52" s="1"/>
      <c r="AL52" s="1"/>
      <c r="AM52" s="1"/>
      <c r="AN52" s="1"/>
      <c r="AO52" s="1"/>
    </row>
    <row r="53" spans="1:41" x14ac:dyDescent="0.25">
      <c r="A53" t="s">
        <v>68</v>
      </c>
      <c r="B53">
        <v>4.0833333329999997</v>
      </c>
      <c r="C53">
        <v>4.7991998459999996</v>
      </c>
      <c r="D53">
        <f t="shared" si="0"/>
        <v>-0.71586651299999993</v>
      </c>
      <c r="E53">
        <f t="shared" si="1"/>
        <v>-14.91637222810496</v>
      </c>
      <c r="F53">
        <f t="shared" si="2"/>
        <v>16.118521565277003</v>
      </c>
      <c r="G53">
        <f t="shared" si="3"/>
        <v>0.51246486443477901</v>
      </c>
      <c r="L53">
        <v>16</v>
      </c>
      <c r="M53">
        <v>48.00291772705534</v>
      </c>
      <c r="N53">
        <v>-8.8970265570553408</v>
      </c>
      <c r="W53">
        <v>28.776209754173582</v>
      </c>
      <c r="X53">
        <v>28.949666279999999</v>
      </c>
      <c r="Y53">
        <f t="shared" si="4"/>
        <v>-0.17345652582641691</v>
      </c>
      <c r="Z53">
        <f t="shared" si="5"/>
        <v>-0.59916589071788406</v>
      </c>
      <c r="AA53">
        <f t="shared" si="6"/>
        <v>0.60096628320973788</v>
      </c>
      <c r="AB53">
        <f t="shared" si="7"/>
        <v>3.0087166351770434E-2</v>
      </c>
      <c r="AH53" s="1" t="s">
        <v>171</v>
      </c>
      <c r="AI53" s="1"/>
      <c r="AJ53" s="1"/>
      <c r="AK53" s="1"/>
      <c r="AL53" s="1"/>
      <c r="AM53" s="1"/>
      <c r="AN53" s="1"/>
      <c r="AO53" s="1"/>
    </row>
    <row r="54" spans="1:41" x14ac:dyDescent="0.25">
      <c r="A54" t="s">
        <v>65</v>
      </c>
      <c r="B54">
        <v>52.083333330000002</v>
      </c>
      <c r="C54">
        <v>34.797234420000002</v>
      </c>
      <c r="D54">
        <f t="shared" si="0"/>
        <v>17.28609891</v>
      </c>
      <c r="E54">
        <f t="shared" si="1"/>
        <v>49.676645854547189</v>
      </c>
      <c r="F54">
        <f t="shared" si="2"/>
        <v>39.792785332022646</v>
      </c>
      <c r="G54">
        <f t="shared" si="3"/>
        <v>298.80921552630321</v>
      </c>
      <c r="L54">
        <v>17</v>
      </c>
      <c r="M54">
        <v>62.078545056831487</v>
      </c>
      <c r="N54">
        <v>-12.305264586831484</v>
      </c>
      <c r="W54">
        <v>45.726858836904015</v>
      </c>
      <c r="X54">
        <v>36.13262005</v>
      </c>
      <c r="Y54">
        <f t="shared" si="4"/>
        <v>9.5942387869040147</v>
      </c>
      <c r="Z54">
        <f t="shared" si="5"/>
        <v>26.552845527469614</v>
      </c>
      <c r="AA54">
        <f t="shared" si="6"/>
        <v>23.440752170336413</v>
      </c>
      <c r="AB54">
        <f t="shared" si="7"/>
        <v>92.04941790013342</v>
      </c>
      <c r="AH54" s="1" t="s">
        <v>172</v>
      </c>
      <c r="AI54" s="1"/>
      <c r="AJ54" s="1"/>
      <c r="AK54" s="1"/>
      <c r="AL54" s="1"/>
      <c r="AM54" s="1"/>
      <c r="AN54" s="1"/>
      <c r="AO54" s="1"/>
    </row>
    <row r="55" spans="1:41" x14ac:dyDescent="0.25">
      <c r="A55" t="s">
        <v>65</v>
      </c>
      <c r="B55">
        <v>35.666666669999998</v>
      </c>
      <c r="C55">
        <v>28.949666279999999</v>
      </c>
      <c r="D55">
        <f t="shared" si="0"/>
        <v>6.717000389999999</v>
      </c>
      <c r="E55">
        <f t="shared" si="1"/>
        <v>23.202341350098628</v>
      </c>
      <c r="F55">
        <f t="shared" si="2"/>
        <v>20.790410360171947</v>
      </c>
      <c r="G55">
        <f t="shared" si="3"/>
        <v>45.118094239260138</v>
      </c>
      <c r="L55">
        <v>18</v>
      </c>
      <c r="M55">
        <v>15.599026715008089</v>
      </c>
      <c r="N55">
        <v>3.6005601349919107</v>
      </c>
      <c r="W55">
        <v>6.2552060200629409</v>
      </c>
      <c r="X55">
        <v>3.3528609380000001</v>
      </c>
      <c r="Y55">
        <f t="shared" si="4"/>
        <v>2.9023450820629408</v>
      </c>
      <c r="Z55">
        <f t="shared" si="5"/>
        <v>86.563240639327134</v>
      </c>
      <c r="AA55">
        <f t="shared" si="6"/>
        <v>60.414755532637862</v>
      </c>
      <c r="AB55">
        <f t="shared" si="7"/>
        <v>8.4236069753749394</v>
      </c>
      <c r="AH55" s="1" t="s">
        <v>173</v>
      </c>
      <c r="AI55" s="1"/>
      <c r="AJ55" s="1"/>
      <c r="AK55" s="1"/>
      <c r="AL55" s="1"/>
      <c r="AM55" s="1"/>
      <c r="AN55" s="1"/>
      <c r="AO55" s="1"/>
    </row>
    <row r="56" spans="1:41" x14ac:dyDescent="0.25">
      <c r="A56" t="s">
        <v>68</v>
      </c>
      <c r="B56">
        <v>1.3333333329999999</v>
      </c>
      <c r="C56">
        <v>1.8904234090000001</v>
      </c>
      <c r="D56">
        <f t="shared" si="0"/>
        <v>-0.55709007600000016</v>
      </c>
      <c r="E56">
        <f t="shared" si="1"/>
        <v>-29.469063562574625</v>
      </c>
      <c r="F56">
        <f t="shared" si="2"/>
        <v>34.561545462911369</v>
      </c>
      <c r="G56">
        <f t="shared" si="3"/>
        <v>0.31034935277768594</v>
      </c>
      <c r="L56">
        <v>19</v>
      </c>
      <c r="M56">
        <v>29.794446620219855</v>
      </c>
      <c r="N56">
        <v>-4.290460710219854</v>
      </c>
      <c r="W56">
        <v>48.482088014422686</v>
      </c>
      <c r="X56">
        <v>48.768669799999998</v>
      </c>
      <c r="Y56">
        <f t="shared" si="4"/>
        <v>-0.28658178557731162</v>
      </c>
      <c r="Z56">
        <f t="shared" si="5"/>
        <v>-0.58763502624242503</v>
      </c>
      <c r="AA56">
        <f t="shared" si="6"/>
        <v>0.58936668879059451</v>
      </c>
      <c r="AB56">
        <f t="shared" si="7"/>
        <v>8.2129119824680213E-2</v>
      </c>
      <c r="AH56" s="1" t="s">
        <v>174</v>
      </c>
      <c r="AI56" s="1"/>
      <c r="AJ56" s="1"/>
      <c r="AK56" s="1"/>
      <c r="AL56" s="1"/>
      <c r="AM56" s="1"/>
      <c r="AN56" s="1"/>
      <c r="AO56" s="1"/>
    </row>
    <row r="57" spans="1:41" x14ac:dyDescent="0.25">
      <c r="A57" t="s">
        <v>69</v>
      </c>
      <c r="B57">
        <v>59.25</v>
      </c>
      <c r="C57">
        <v>36.13262005</v>
      </c>
      <c r="D57">
        <f t="shared" si="0"/>
        <v>23.11737995</v>
      </c>
      <c r="E57">
        <f t="shared" si="1"/>
        <v>63.979251762009994</v>
      </c>
      <c r="F57">
        <f t="shared" si="2"/>
        <v>48.472939698829336</v>
      </c>
      <c r="G57">
        <f t="shared" si="3"/>
        <v>534.41325575266205</v>
      </c>
      <c r="L57">
        <v>20</v>
      </c>
      <c r="M57">
        <v>20.091248203999154</v>
      </c>
      <c r="N57">
        <v>11.812607226000846</v>
      </c>
      <c r="W57">
        <v>66.151492542579234</v>
      </c>
      <c r="X57">
        <v>80.086509489999997</v>
      </c>
      <c r="Y57">
        <f t="shared" si="4"/>
        <v>-13.935016947420763</v>
      </c>
      <c r="Z57">
        <f t="shared" si="5"/>
        <v>-17.399955418410087</v>
      </c>
      <c r="AA57">
        <f t="shared" si="6"/>
        <v>19.057996900581681</v>
      </c>
      <c r="AB57">
        <f t="shared" si="7"/>
        <v>194.18469732490388</v>
      </c>
      <c r="AH57" s="1"/>
      <c r="AI57" s="1"/>
      <c r="AJ57" s="1"/>
      <c r="AK57" s="1"/>
      <c r="AL57" s="1"/>
      <c r="AM57" s="1"/>
      <c r="AN57" s="1"/>
      <c r="AO57" s="1"/>
    </row>
    <row r="58" spans="1:41" x14ac:dyDescent="0.25">
      <c r="A58" t="s">
        <v>68</v>
      </c>
      <c r="B58">
        <v>4.3333333329999997</v>
      </c>
      <c r="C58">
        <v>3.3528609380000001</v>
      </c>
      <c r="D58">
        <f t="shared" si="0"/>
        <v>0.98047239499999961</v>
      </c>
      <c r="E58">
        <f t="shared" si="1"/>
        <v>29.242858953310986</v>
      </c>
      <c r="F58">
        <f t="shared" si="2"/>
        <v>25.512558242232323</v>
      </c>
      <c r="G58">
        <f t="shared" si="3"/>
        <v>0.96132611735703521</v>
      </c>
      <c r="L58">
        <v>21</v>
      </c>
      <c r="M58">
        <v>54.351924095766861</v>
      </c>
      <c r="N58">
        <v>-11.046547645766864</v>
      </c>
      <c r="W58">
        <v>47.943021435743759</v>
      </c>
      <c r="X58">
        <v>57.136249040000003</v>
      </c>
      <c r="Y58">
        <f t="shared" si="4"/>
        <v>-9.1932276042562435</v>
      </c>
      <c r="Z58">
        <f t="shared" si="5"/>
        <v>-16.090008985049472</v>
      </c>
      <c r="AA58">
        <f t="shared" si="6"/>
        <v>17.497699713053084</v>
      </c>
      <c r="AB58">
        <f t="shared" si="7"/>
        <v>84.515433783658992</v>
      </c>
      <c r="AH58" s="1"/>
      <c r="AI58" s="1"/>
      <c r="AJ58" s="1"/>
      <c r="AK58" s="1"/>
      <c r="AL58" s="1"/>
      <c r="AM58" s="1"/>
      <c r="AN58" s="1"/>
      <c r="AO58" s="1"/>
    </row>
    <row r="59" spans="1:41" x14ac:dyDescent="0.25">
      <c r="A59" t="s">
        <v>65</v>
      </c>
      <c r="B59">
        <v>63.083333330000002</v>
      </c>
      <c r="C59">
        <v>48.768669799999998</v>
      </c>
      <c r="D59">
        <f t="shared" si="0"/>
        <v>14.314663530000004</v>
      </c>
      <c r="E59">
        <f t="shared" si="1"/>
        <v>29.352171360638597</v>
      </c>
      <c r="F59">
        <f t="shared" si="2"/>
        <v>25.595721362920582</v>
      </c>
      <c r="G59">
        <f t="shared" si="3"/>
        <v>204.90959197711217</v>
      </c>
      <c r="L59">
        <v>22</v>
      </c>
      <c r="M59">
        <v>26.919424867265572</v>
      </c>
      <c r="N59">
        <v>-2.0790403272655738</v>
      </c>
      <c r="W59">
        <v>34.646045828330202</v>
      </c>
      <c r="X59">
        <v>31.262878690000001</v>
      </c>
      <c r="Y59">
        <f t="shared" si="4"/>
        <v>3.3831671383302009</v>
      </c>
      <c r="Z59">
        <f t="shared" si="5"/>
        <v>10.82167503471895</v>
      </c>
      <c r="AA59">
        <f t="shared" si="6"/>
        <v>10.266188268295274</v>
      </c>
      <c r="AB59">
        <f t="shared" si="7"/>
        <v>11.445819885877361</v>
      </c>
      <c r="AH59" s="1"/>
      <c r="AI59" s="1"/>
      <c r="AJ59" s="1"/>
      <c r="AK59" s="1"/>
      <c r="AL59" s="1"/>
      <c r="AM59" s="1"/>
      <c r="AN59" s="1"/>
      <c r="AO59" s="1"/>
    </row>
    <row r="60" spans="1:41" x14ac:dyDescent="0.25">
      <c r="A60" t="s">
        <v>65</v>
      </c>
      <c r="B60">
        <v>87.666666669999998</v>
      </c>
      <c r="C60">
        <v>80.086509489999997</v>
      </c>
      <c r="D60">
        <f t="shared" si="0"/>
        <v>7.5801571800000005</v>
      </c>
      <c r="E60">
        <f t="shared" si="1"/>
        <v>9.4649613627454894</v>
      </c>
      <c r="F60">
        <f t="shared" si="2"/>
        <v>9.0372741113052673</v>
      </c>
      <c r="G60">
        <f t="shared" si="3"/>
        <v>57.458782873505562</v>
      </c>
      <c r="L60">
        <v>23</v>
      </c>
      <c r="M60">
        <v>14.281308413966562</v>
      </c>
      <c r="N60">
        <v>13.55692637603344</v>
      </c>
      <c r="W60">
        <v>9.2500203462965693</v>
      </c>
      <c r="X60">
        <v>5.3218732969999998</v>
      </c>
      <c r="Y60">
        <f t="shared" si="4"/>
        <v>3.9281470492965695</v>
      </c>
      <c r="Z60">
        <f t="shared" si="5"/>
        <v>73.811359836599465</v>
      </c>
      <c r="AA60">
        <f t="shared" si="6"/>
        <v>53.914023056346061</v>
      </c>
      <c r="AB60">
        <f t="shared" si="7"/>
        <v>15.430339240897347</v>
      </c>
      <c r="AH60" s="1"/>
      <c r="AI60" s="1"/>
      <c r="AJ60" s="1"/>
      <c r="AK60" s="1"/>
      <c r="AL60" s="1"/>
      <c r="AM60" s="1"/>
      <c r="AN60" s="1"/>
      <c r="AO60" s="1"/>
    </row>
    <row r="61" spans="1:41" x14ac:dyDescent="0.25">
      <c r="A61" t="s">
        <v>65</v>
      </c>
      <c r="B61">
        <v>62.333333330000002</v>
      </c>
      <c r="C61">
        <v>57.136249040000003</v>
      </c>
      <c r="D61">
        <f t="shared" si="0"/>
        <v>5.1970842899999994</v>
      </c>
      <c r="E61">
        <f t="shared" si="1"/>
        <v>9.0959493794589488</v>
      </c>
      <c r="F61">
        <f t="shared" si="2"/>
        <v>8.7002635932960928</v>
      </c>
      <c r="G61">
        <f t="shared" si="3"/>
        <v>27.009685117364796</v>
      </c>
      <c r="L61">
        <v>24</v>
      </c>
      <c r="M61">
        <v>46.804991994261869</v>
      </c>
      <c r="N61">
        <v>-7.4735182942618721</v>
      </c>
      <c r="W61">
        <v>58.245182721954968</v>
      </c>
      <c r="X61">
        <v>70.196966639999999</v>
      </c>
      <c r="Y61">
        <f t="shared" si="4"/>
        <v>-11.951783918045031</v>
      </c>
      <c r="Z61">
        <f t="shared" si="5"/>
        <v>-17.026068917391942</v>
      </c>
      <c r="AA61">
        <f t="shared" si="6"/>
        <v>18.610376698640319</v>
      </c>
      <c r="AB61">
        <f t="shared" si="7"/>
        <v>142.84513882363984</v>
      </c>
      <c r="AH61" s="1"/>
      <c r="AI61" s="1"/>
      <c r="AJ61" s="1"/>
      <c r="AK61" s="1"/>
      <c r="AL61" s="1"/>
      <c r="AM61" s="1"/>
      <c r="AN61" s="1"/>
      <c r="AO61" s="1"/>
    </row>
    <row r="62" spans="1:41" x14ac:dyDescent="0.25">
      <c r="A62" t="s">
        <v>65</v>
      </c>
      <c r="B62">
        <v>43.833333330000002</v>
      </c>
      <c r="C62">
        <v>31.262878690000001</v>
      </c>
      <c r="D62">
        <f t="shared" si="0"/>
        <v>12.570454640000001</v>
      </c>
      <c r="E62">
        <f t="shared" si="1"/>
        <v>40.208884039910529</v>
      </c>
      <c r="F62">
        <f t="shared" si="2"/>
        <v>33.478265552601179</v>
      </c>
      <c r="G62">
        <f t="shared" si="3"/>
        <v>158.01632985629757</v>
      </c>
      <c r="L62">
        <v>25</v>
      </c>
      <c r="M62">
        <v>20.510522214430026</v>
      </c>
      <c r="N62">
        <v>-0.63021640443002624</v>
      </c>
      <c r="W62">
        <v>43.810177665871976</v>
      </c>
      <c r="X62">
        <v>43.765490870000001</v>
      </c>
      <c r="Y62">
        <f t="shared" si="4"/>
        <v>4.4686795871974994E-2</v>
      </c>
      <c r="Z62">
        <f t="shared" si="5"/>
        <v>0.10210509463885967</v>
      </c>
      <c r="AA62">
        <f t="shared" si="6"/>
        <v>0.10205299398581416</v>
      </c>
      <c r="AB62">
        <f t="shared" si="7"/>
        <v>1.9969097253035614E-3</v>
      </c>
      <c r="AH62" s="1"/>
      <c r="AI62" s="1"/>
      <c r="AJ62" s="1"/>
      <c r="AK62" s="1"/>
      <c r="AL62" s="1"/>
      <c r="AM62" s="1"/>
      <c r="AN62" s="1"/>
      <c r="AO62" s="1"/>
    </row>
    <row r="63" spans="1:41" x14ac:dyDescent="0.25">
      <c r="A63" t="s">
        <v>68</v>
      </c>
      <c r="B63">
        <v>8.5</v>
      </c>
      <c r="C63">
        <v>5.3218732969999998</v>
      </c>
      <c r="D63">
        <f t="shared" si="0"/>
        <v>3.1781267030000002</v>
      </c>
      <c r="E63">
        <f t="shared" si="1"/>
        <v>59.718195560791465</v>
      </c>
      <c r="F63">
        <f t="shared" si="2"/>
        <v>45.986917036633578</v>
      </c>
      <c r="G63">
        <f t="shared" si="3"/>
        <v>10.100489340321651</v>
      </c>
      <c r="L63">
        <v>26</v>
      </c>
      <c r="M63">
        <v>9.848983211255792</v>
      </c>
      <c r="N63">
        <v>4.9692228787442083</v>
      </c>
      <c r="W63">
        <v>59.083730728441594</v>
      </c>
      <c r="X63">
        <v>68.811077650000001</v>
      </c>
      <c r="Y63">
        <f t="shared" si="4"/>
        <v>-9.7273469215584072</v>
      </c>
      <c r="Z63">
        <f t="shared" si="5"/>
        <v>-14.136309521317905</v>
      </c>
      <c r="AA63">
        <f t="shared" si="6"/>
        <v>15.211480504783466</v>
      </c>
      <c r="AB63">
        <f t="shared" si="7"/>
        <v>94.621278132351819</v>
      </c>
      <c r="AH63" s="1"/>
      <c r="AI63" s="1"/>
      <c r="AJ63" s="1"/>
      <c r="AK63" s="1"/>
      <c r="AL63" s="1"/>
      <c r="AM63" s="1"/>
      <c r="AN63" s="1"/>
      <c r="AO63" s="1"/>
    </row>
    <row r="64" spans="1:41" x14ac:dyDescent="0.25">
      <c r="A64" t="s">
        <v>65</v>
      </c>
      <c r="B64">
        <v>76.666666669999998</v>
      </c>
      <c r="C64">
        <v>70.196966639999999</v>
      </c>
      <c r="D64">
        <f t="shared" si="0"/>
        <v>6.4697000299999985</v>
      </c>
      <c r="E64">
        <f t="shared" si="1"/>
        <v>9.216495155950799</v>
      </c>
      <c r="F64">
        <f t="shared" si="2"/>
        <v>8.8104861417172557</v>
      </c>
      <c r="G64">
        <f t="shared" si="3"/>
        <v>41.857018478181985</v>
      </c>
      <c r="L64">
        <v>27</v>
      </c>
      <c r="M64">
        <v>29.494965192412153</v>
      </c>
      <c r="N64">
        <v>3.5942190075878457</v>
      </c>
      <c r="W64">
        <v>64.23481137154721</v>
      </c>
      <c r="X64">
        <v>70.95176678</v>
      </c>
      <c r="Y64">
        <f t="shared" si="4"/>
        <v>-6.7169554084527903</v>
      </c>
      <c r="Z64">
        <f t="shared" si="5"/>
        <v>-9.4669318514365397</v>
      </c>
      <c r="AA64">
        <f t="shared" si="6"/>
        <v>9.9373110856063409</v>
      </c>
      <c r="AB64">
        <f t="shared" si="7"/>
        <v>45.117489959143192</v>
      </c>
      <c r="AH64" s="1"/>
      <c r="AI64" s="1"/>
      <c r="AJ64" s="1"/>
      <c r="AK64" s="1"/>
      <c r="AL64" s="1"/>
      <c r="AM64" s="1"/>
      <c r="AN64" s="1"/>
      <c r="AO64" s="1"/>
    </row>
    <row r="65" spans="1:41" x14ac:dyDescent="0.25">
      <c r="A65" t="s">
        <v>65</v>
      </c>
      <c r="B65">
        <v>56.583333330000002</v>
      </c>
      <c r="C65">
        <v>43.765490870000001</v>
      </c>
      <c r="D65">
        <f t="shared" si="0"/>
        <v>12.817842460000001</v>
      </c>
      <c r="E65">
        <f t="shared" si="1"/>
        <v>29.287555572206021</v>
      </c>
      <c r="F65">
        <f t="shared" si="2"/>
        <v>25.546572293569536</v>
      </c>
      <c r="G65">
        <f t="shared" si="3"/>
        <v>164.29708532937889</v>
      </c>
      <c r="L65">
        <v>28</v>
      </c>
      <c r="M65">
        <v>43.031525943509379</v>
      </c>
      <c r="N65">
        <v>-2.9913966635093772</v>
      </c>
      <c r="W65">
        <v>73.039565489969689</v>
      </c>
      <c r="X65">
        <v>76.606017840000007</v>
      </c>
      <c r="Y65">
        <f t="shared" si="4"/>
        <v>-3.5664523500303176</v>
      </c>
      <c r="Z65">
        <f t="shared" si="5"/>
        <v>-4.655577264803453</v>
      </c>
      <c r="AA65">
        <f t="shared" si="6"/>
        <v>4.7665320561666853</v>
      </c>
      <c r="AB65">
        <f t="shared" si="7"/>
        <v>12.719582365036775</v>
      </c>
      <c r="AH65" s="1"/>
      <c r="AI65" s="1"/>
      <c r="AJ65" s="1"/>
      <c r="AK65" s="1"/>
      <c r="AL65" s="1"/>
      <c r="AM65" s="1"/>
      <c r="AN65" s="1"/>
      <c r="AO65" s="1"/>
    </row>
    <row r="66" spans="1:41" x14ac:dyDescent="0.25">
      <c r="A66" t="s">
        <v>68</v>
      </c>
      <c r="B66">
        <v>3.75</v>
      </c>
      <c r="C66">
        <v>2.5306156299999998</v>
      </c>
      <c r="D66">
        <f t="shared" si="0"/>
        <v>1.2193843700000002</v>
      </c>
      <c r="E66">
        <f t="shared" si="1"/>
        <v>48.185285649247348</v>
      </c>
      <c r="F66">
        <f t="shared" si="2"/>
        <v>38.830090610082443</v>
      </c>
      <c r="G66">
        <f t="shared" si="3"/>
        <v>1.4868982418002974</v>
      </c>
      <c r="L66">
        <v>29</v>
      </c>
      <c r="M66">
        <v>7.6328206102597855</v>
      </c>
      <c r="N66">
        <v>3.4330829197402144</v>
      </c>
      <c r="AH66" s="1"/>
      <c r="AI66" s="1"/>
      <c r="AJ66" s="1"/>
      <c r="AK66" s="1"/>
      <c r="AL66" s="1"/>
      <c r="AM66" s="1"/>
      <c r="AN66" s="1"/>
      <c r="AO66" s="1"/>
    </row>
    <row r="67" spans="1:41" x14ac:dyDescent="0.25">
      <c r="A67" t="s">
        <v>68</v>
      </c>
      <c r="B67">
        <v>4.1666666670000003</v>
      </c>
      <c r="C67">
        <v>3.019150942</v>
      </c>
      <c r="D67">
        <f t="shared" si="0"/>
        <v>1.1475157250000003</v>
      </c>
      <c r="E67">
        <f t="shared" si="1"/>
        <v>38.007895168031659</v>
      </c>
      <c r="F67">
        <f t="shared" si="2"/>
        <v>31.938348214203891</v>
      </c>
      <c r="G67">
        <f t="shared" si="3"/>
        <v>1.3167923391222764</v>
      </c>
      <c r="L67">
        <v>30</v>
      </c>
      <c r="M67">
        <v>23.205855107824664</v>
      </c>
      <c r="N67">
        <v>1.7625359821753364</v>
      </c>
      <c r="AH67" s="1"/>
      <c r="AI67" s="1"/>
      <c r="AJ67" s="1"/>
      <c r="AK67" s="1"/>
      <c r="AL67" s="1"/>
      <c r="AM67" s="1"/>
      <c r="AN67" s="1"/>
      <c r="AO67" s="1"/>
    </row>
    <row r="68" spans="1:41" x14ac:dyDescent="0.25">
      <c r="A68" t="s">
        <v>68</v>
      </c>
      <c r="B68">
        <v>5.1666666670000003</v>
      </c>
      <c r="C68">
        <v>2.7249006869999999</v>
      </c>
      <c r="D68">
        <f t="shared" si="0"/>
        <v>2.4417659800000004</v>
      </c>
      <c r="E68">
        <f t="shared" si="1"/>
        <v>89.609356834515737</v>
      </c>
      <c r="F68">
        <f t="shared" si="2"/>
        <v>61.882915534195924</v>
      </c>
      <c r="G68">
        <f t="shared" si="3"/>
        <v>5.9622211010853627</v>
      </c>
      <c r="L68">
        <v>31</v>
      </c>
      <c r="M68">
        <v>4.638006284026158</v>
      </c>
      <c r="N68">
        <v>-3.3733259830261577</v>
      </c>
      <c r="AH68" s="1"/>
      <c r="AI68" s="1"/>
      <c r="AJ68" s="1"/>
      <c r="AK68" s="1"/>
      <c r="AL68" s="1"/>
      <c r="AM68" s="1"/>
      <c r="AN68" s="1"/>
      <c r="AO68" s="1"/>
    </row>
    <row r="69" spans="1:41" x14ac:dyDescent="0.25">
      <c r="A69" t="s">
        <v>65</v>
      </c>
      <c r="B69">
        <v>77.833333330000002</v>
      </c>
      <c r="C69">
        <v>68.811077650000001</v>
      </c>
      <c r="D69">
        <f t="shared" si="0"/>
        <v>9.0222556800000007</v>
      </c>
      <c r="E69">
        <f t="shared" si="1"/>
        <v>13.111632586094224</v>
      </c>
      <c r="F69">
        <f t="shared" si="2"/>
        <v>12.304943120171821</v>
      </c>
      <c r="G69">
        <f t="shared" si="3"/>
        <v>81.401097555292267</v>
      </c>
      <c r="L69">
        <v>32</v>
      </c>
      <c r="M69">
        <v>19.312596481636554</v>
      </c>
      <c r="N69">
        <v>0.61945755836344674</v>
      </c>
      <c r="AH69" s="1"/>
      <c r="AI69" s="1"/>
      <c r="AJ69" s="1"/>
      <c r="AK69" s="1"/>
      <c r="AL69" s="1"/>
      <c r="AM69" s="1"/>
      <c r="AN69" s="1"/>
      <c r="AO69" s="1"/>
    </row>
    <row r="70" spans="1:41" x14ac:dyDescent="0.25">
      <c r="A70" t="s">
        <v>65</v>
      </c>
      <c r="B70">
        <v>85</v>
      </c>
      <c r="C70">
        <v>70.95176678</v>
      </c>
      <c r="D70">
        <f t="shared" si="0"/>
        <v>14.04823322</v>
      </c>
      <c r="E70">
        <f t="shared" si="1"/>
        <v>19.799694718750736</v>
      </c>
      <c r="F70">
        <f t="shared" si="2"/>
        <v>18.016125767677561</v>
      </c>
      <c r="G70">
        <f t="shared" si="3"/>
        <v>197.35285660351158</v>
      </c>
      <c r="L70">
        <v>33</v>
      </c>
      <c r="M70">
        <v>33.028846092293421</v>
      </c>
      <c r="N70">
        <v>1.7538685377065804</v>
      </c>
      <c r="AH70" s="1"/>
      <c r="AI70" s="1"/>
      <c r="AJ70" s="1"/>
      <c r="AK70" s="1"/>
      <c r="AL70" s="1"/>
      <c r="AM70" s="1"/>
      <c r="AN70" s="1"/>
      <c r="AO70" s="1"/>
    </row>
    <row r="71" spans="1:41" x14ac:dyDescent="0.25">
      <c r="A71" t="s">
        <v>65</v>
      </c>
      <c r="B71">
        <v>97.25</v>
      </c>
      <c r="C71">
        <v>76.606017840000007</v>
      </c>
      <c r="D71">
        <f t="shared" si="0"/>
        <v>20.643982159999993</v>
      </c>
      <c r="E71">
        <f t="shared" si="1"/>
        <v>26.948251249813289</v>
      </c>
      <c r="F71">
        <f t="shared" si="2"/>
        <v>23.748366512108529</v>
      </c>
      <c r="G71">
        <f t="shared" si="3"/>
        <v>426.17399942239797</v>
      </c>
      <c r="L71">
        <v>34</v>
      </c>
      <c r="M71">
        <v>34.106979249651275</v>
      </c>
      <c r="N71">
        <v>8.3478707703487274</v>
      </c>
    </row>
    <row r="72" spans="1:41" x14ac:dyDescent="0.25">
      <c r="L72">
        <v>35</v>
      </c>
      <c r="M72">
        <v>4.9973840031454433</v>
      </c>
      <c r="N72">
        <v>-3.6623882901454432</v>
      </c>
    </row>
    <row r="73" spans="1:41" x14ac:dyDescent="0.25">
      <c r="L73">
        <v>36</v>
      </c>
      <c r="M73">
        <v>22.427203378274505</v>
      </c>
      <c r="N73">
        <v>-2.5286836182745063</v>
      </c>
    </row>
    <row r="74" spans="1:41" x14ac:dyDescent="0.25">
      <c r="L74">
        <v>37</v>
      </c>
      <c r="M74">
        <v>8.7708500538979379</v>
      </c>
      <c r="N74">
        <v>-4.1560345028979375</v>
      </c>
    </row>
    <row r="75" spans="1:41" x14ac:dyDescent="0.25">
      <c r="L75">
        <v>38</v>
      </c>
      <c r="M75">
        <v>46.086236556023302</v>
      </c>
      <c r="N75">
        <v>-6.4413712660233031</v>
      </c>
    </row>
    <row r="76" spans="1:41" x14ac:dyDescent="0.25">
      <c r="L76">
        <v>39</v>
      </c>
      <c r="M76">
        <v>50.877939480009616</v>
      </c>
      <c r="N76">
        <v>-5.3669973100096158</v>
      </c>
    </row>
    <row r="77" spans="1:41" x14ac:dyDescent="0.25">
      <c r="L77">
        <v>40</v>
      </c>
      <c r="M77">
        <v>63.755641076992305</v>
      </c>
      <c r="N77">
        <v>-3.0609370669923024</v>
      </c>
    </row>
    <row r="78" spans="1:41" x14ac:dyDescent="0.25">
      <c r="L78">
        <v>41</v>
      </c>
      <c r="M78">
        <v>6.0755171605032983</v>
      </c>
      <c r="N78">
        <v>-1.2763173145032987</v>
      </c>
    </row>
    <row r="79" spans="1:41" x14ac:dyDescent="0.25">
      <c r="L79">
        <v>42</v>
      </c>
      <c r="M79">
        <v>40.575778193798413</v>
      </c>
      <c r="N79">
        <v>-5.7785437737984111</v>
      </c>
    </row>
    <row r="80" spans="1:41" x14ac:dyDescent="0.25">
      <c r="L80">
        <v>43</v>
      </c>
      <c r="M80">
        <v>28.776209754173582</v>
      </c>
      <c r="N80">
        <v>0.17345652582641691</v>
      </c>
    </row>
    <row r="81" spans="12:14" x14ac:dyDescent="0.25">
      <c r="L81">
        <v>44</v>
      </c>
      <c r="M81">
        <v>4.0989397053472301</v>
      </c>
      <c r="N81">
        <v>-2.2085162963472298</v>
      </c>
    </row>
    <row r="82" spans="12:14" x14ac:dyDescent="0.25">
      <c r="L82">
        <v>45</v>
      </c>
      <c r="M82">
        <v>45.726858836904015</v>
      </c>
      <c r="N82">
        <v>-9.5942387869040147</v>
      </c>
    </row>
    <row r="83" spans="12:14" x14ac:dyDescent="0.25">
      <c r="L83">
        <v>46</v>
      </c>
      <c r="M83">
        <v>6.2552060200629409</v>
      </c>
      <c r="N83">
        <v>-2.9023450820629408</v>
      </c>
    </row>
    <row r="84" spans="12:14" x14ac:dyDescent="0.25">
      <c r="L84">
        <v>47</v>
      </c>
      <c r="M84">
        <v>48.482088014422686</v>
      </c>
      <c r="N84">
        <v>0.28658178557731162</v>
      </c>
    </row>
    <row r="85" spans="12:14" x14ac:dyDescent="0.25">
      <c r="L85">
        <v>48</v>
      </c>
      <c r="M85">
        <v>66.151492542579234</v>
      </c>
      <c r="N85">
        <v>13.935016947420763</v>
      </c>
    </row>
    <row r="86" spans="12:14" x14ac:dyDescent="0.25">
      <c r="L86">
        <v>49</v>
      </c>
      <c r="M86">
        <v>47.943021435743759</v>
      </c>
      <c r="N86">
        <v>9.1932276042562435</v>
      </c>
    </row>
    <row r="87" spans="12:14" x14ac:dyDescent="0.25">
      <c r="L87">
        <v>50</v>
      </c>
      <c r="M87">
        <v>34.646045828330202</v>
      </c>
      <c r="N87">
        <v>-3.3831671383302009</v>
      </c>
    </row>
    <row r="88" spans="12:14" x14ac:dyDescent="0.25">
      <c r="L88">
        <v>51</v>
      </c>
      <c r="M88">
        <v>9.2500203462965693</v>
      </c>
      <c r="N88">
        <v>-3.9281470492965695</v>
      </c>
    </row>
    <row r="89" spans="12:14" x14ac:dyDescent="0.25">
      <c r="L89">
        <v>52</v>
      </c>
      <c r="M89">
        <v>58.245182721954968</v>
      </c>
      <c r="N89">
        <v>11.951783918045031</v>
      </c>
    </row>
    <row r="90" spans="12:14" x14ac:dyDescent="0.25">
      <c r="L90">
        <v>53</v>
      </c>
      <c r="M90">
        <v>43.810177665871976</v>
      </c>
      <c r="N90">
        <v>-4.4686795871974994E-2</v>
      </c>
    </row>
    <row r="91" spans="12:14" x14ac:dyDescent="0.25">
      <c r="L91">
        <v>54</v>
      </c>
      <c r="M91">
        <v>5.83593201466336</v>
      </c>
      <c r="N91">
        <v>-3.3053163846633602</v>
      </c>
    </row>
    <row r="92" spans="12:14" x14ac:dyDescent="0.25">
      <c r="L92">
        <v>55</v>
      </c>
      <c r="M92">
        <v>6.1354134475023496</v>
      </c>
      <c r="N92">
        <v>-3.1162625055023496</v>
      </c>
    </row>
    <row r="93" spans="12:14" x14ac:dyDescent="0.25">
      <c r="L93">
        <v>56</v>
      </c>
      <c r="M93">
        <v>6.8541688857409202</v>
      </c>
      <c r="N93">
        <v>-4.1292681987409203</v>
      </c>
    </row>
    <row r="94" spans="12:14" x14ac:dyDescent="0.25">
      <c r="L94">
        <v>57</v>
      </c>
      <c r="M94">
        <v>59.083730728441594</v>
      </c>
      <c r="N94">
        <v>9.7273469215584072</v>
      </c>
    </row>
    <row r="95" spans="12:14" x14ac:dyDescent="0.25">
      <c r="L95">
        <v>58</v>
      </c>
      <c r="M95">
        <v>64.23481137154721</v>
      </c>
      <c r="N95">
        <v>6.7169554084527903</v>
      </c>
    </row>
    <row r="96" spans="12:14" x14ac:dyDescent="0.25">
      <c r="L96">
        <v>59</v>
      </c>
      <c r="M96">
        <v>73.039565489969689</v>
      </c>
      <c r="N96">
        <v>3.5664523500303176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Turbidity_Calibration_Curves</vt:lpstr>
      <vt:lpstr>Turbidity Performance</vt:lpstr>
      <vt:lpstr>Chl-a Cary Curves (in-vitro)</vt:lpstr>
      <vt:lpstr>Chl-a Low-Cost (in-vitro)</vt:lpstr>
      <vt:lpstr>In-vivo Fluorescence</vt:lpstr>
      <vt:lpstr>In-vivo Calibration +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GAETANO CIRRONE</dc:creator>
  <cp:lastModifiedBy>RICCARDO GAETANO CIRRONE</cp:lastModifiedBy>
  <dcterms:created xsi:type="dcterms:W3CDTF">2026-05-15T11:07:39Z</dcterms:created>
  <dcterms:modified xsi:type="dcterms:W3CDTF">2026-06-30T12:49:22Z</dcterms:modified>
</cp:coreProperties>
</file>